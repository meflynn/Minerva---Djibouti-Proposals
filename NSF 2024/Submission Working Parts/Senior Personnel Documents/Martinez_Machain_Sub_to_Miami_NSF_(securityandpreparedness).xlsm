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029"/>
  <workbookPr defaultThemeVersion="124226"/>
  <mc:AlternateContent xmlns:mc="http://schemas.openxmlformats.org/markup-compatibility/2006">
    <mc:Choice Requires="x15">
      <x15ac:absPath xmlns:x15ac="http://schemas.microsoft.com/office/spreadsheetml/2010/11/ac" url="C:\Users\carla\Dropbox\Minerva - Djibouti Proposals\NSF\Submission Working Parts\Senior Personnel Documents\"/>
    </mc:Choice>
  </mc:AlternateContent>
  <xr:revisionPtr revIDLastSave="0" documentId="13_ncr:1_{9214C3ED-EE07-4722-8486-A974F1BBA147}" xr6:coauthVersionLast="47" xr6:coauthVersionMax="47" xr10:uidLastSave="{00000000-0000-0000-0000-000000000000}"/>
  <bookViews>
    <workbookView xWindow="720" yWindow="720" windowWidth="18470" windowHeight="9385" xr2:uid="{00000000-000D-0000-FFFF-FFFF00000000}"/>
  </bookViews>
  <sheets>
    <sheet name="Monthly Budget" sheetId="1" r:id="rId1"/>
    <sheet name="Hourly Budget" sheetId="3" state="hidden" r:id="rId2"/>
    <sheet name="Hourly Breakdown" sheetId="4" state="hidden" r:id="rId3"/>
    <sheet name="Sanitized Budget Calc" sheetId="5" state="hidden" r:id="rId4"/>
    <sheet name="Sanitized Budget Final" sheetId="6" state="hidden" r:id="rId5"/>
    <sheet name="Rates" sheetId="2" r:id="rId6"/>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75" i="1" l="1"/>
  <c r="E23" i="1"/>
  <c r="E8" i="1"/>
  <c r="L8" i="1"/>
  <c r="T8" i="1"/>
  <c r="L9" i="1"/>
  <c r="M9" i="1"/>
  <c r="N9" i="1"/>
  <c r="O9" i="1"/>
  <c r="P9" i="1" s="1"/>
  <c r="Q9" i="1" s="1"/>
  <c r="T9" i="1"/>
  <c r="U9" i="1"/>
  <c r="V9" i="1"/>
  <c r="W9" i="1" s="1"/>
  <c r="X9" i="1" s="1"/>
  <c r="Y9" i="1" s="1"/>
  <c r="L10" i="1"/>
  <c r="M10" i="1"/>
  <c r="U10" i="1" s="1"/>
  <c r="V10" i="1" s="1"/>
  <c r="W10" i="1" s="1"/>
  <c r="T10" i="1"/>
  <c r="L11" i="1"/>
  <c r="M11" i="1"/>
  <c r="N11" i="1" s="1"/>
  <c r="O11" i="1" s="1"/>
  <c r="T11" i="1"/>
  <c r="L12" i="1"/>
  <c r="M12" i="1"/>
  <c r="N12" i="1"/>
  <c r="O12" i="1" s="1"/>
  <c r="T12" i="1"/>
  <c r="U12" i="1"/>
  <c r="V12" i="1" s="1"/>
  <c r="W12" i="1" s="1"/>
  <c r="L13" i="1"/>
  <c r="M13" i="1"/>
  <c r="N13" i="1"/>
  <c r="O13" i="1"/>
  <c r="P13" i="1" s="1"/>
  <c r="Q13" i="1" s="1"/>
  <c r="T13" i="1"/>
  <c r="U13" i="1"/>
  <c r="V13" i="1" s="1"/>
  <c r="W13" i="1" s="1"/>
  <c r="X13" i="1" s="1"/>
  <c r="Y13" i="1" s="1"/>
  <c r="L14" i="1"/>
  <c r="M14" i="1"/>
  <c r="U14" i="1" s="1"/>
  <c r="V14" i="1" s="1"/>
  <c r="W14" i="1" s="1"/>
  <c r="T14" i="1"/>
  <c r="L15" i="1"/>
  <c r="M15" i="1"/>
  <c r="N15" i="1" s="1"/>
  <c r="O15" i="1" s="1"/>
  <c r="T15" i="1"/>
  <c r="L16" i="1"/>
  <c r="M16" i="1"/>
  <c r="N16" i="1" s="1"/>
  <c r="O16" i="1" s="1"/>
  <c r="T16" i="1"/>
  <c r="U16" i="1"/>
  <c r="V16" i="1" s="1"/>
  <c r="W16" i="1" s="1"/>
  <c r="L17" i="1"/>
  <c r="M17" i="1"/>
  <c r="N17" i="1"/>
  <c r="O17" i="1"/>
  <c r="P17" i="1" s="1"/>
  <c r="Q17" i="1" s="1"/>
  <c r="T17" i="1"/>
  <c r="U17" i="1"/>
  <c r="V17" i="1" s="1"/>
  <c r="W17" i="1" s="1"/>
  <c r="X17" i="1" s="1"/>
  <c r="Y17" i="1" s="1"/>
  <c r="L23" i="1"/>
  <c r="T23" i="1"/>
  <c r="L24" i="1"/>
  <c r="M24" i="1"/>
  <c r="U24" i="1" s="1"/>
  <c r="V24" i="1" s="1"/>
  <c r="W24" i="1" s="1"/>
  <c r="T24" i="1"/>
  <c r="L25" i="1"/>
  <c r="M25" i="1"/>
  <c r="N25" i="1" s="1"/>
  <c r="O25" i="1" s="1"/>
  <c r="T25" i="1"/>
  <c r="L26" i="1"/>
  <c r="M26" i="1"/>
  <c r="N26" i="1" s="1"/>
  <c r="O26" i="1" s="1"/>
  <c r="T26" i="1"/>
  <c r="U26" i="1"/>
  <c r="V26" i="1" s="1"/>
  <c r="W26" i="1" s="1"/>
  <c r="X26" i="1" s="1"/>
  <c r="Y26" i="1" s="1"/>
  <c r="L27" i="1"/>
  <c r="M27" i="1"/>
  <c r="N27" i="1"/>
  <c r="O27" i="1"/>
  <c r="P27" i="1" s="1"/>
  <c r="Q27" i="1" s="1"/>
  <c r="T27" i="1"/>
  <c r="U27" i="1"/>
  <c r="V27" i="1" s="1"/>
  <c r="W27" i="1" s="1"/>
  <c r="L33" i="1"/>
  <c r="M33" i="1"/>
  <c r="N33" i="1"/>
  <c r="O33" i="1"/>
  <c r="P33" i="1" s="1"/>
  <c r="Q33" i="1" s="1"/>
  <c r="T33" i="1"/>
  <c r="U33" i="1"/>
  <c r="V33" i="1" s="1"/>
  <c r="W33" i="1" s="1"/>
  <c r="L34" i="1"/>
  <c r="M34" i="1"/>
  <c r="U34" i="1" s="1"/>
  <c r="V34" i="1" s="1"/>
  <c r="W34" i="1" s="1"/>
  <c r="T34" i="1"/>
  <c r="L35" i="1"/>
  <c r="M35" i="1"/>
  <c r="N35" i="1" s="1"/>
  <c r="O35" i="1" s="1"/>
  <c r="T35" i="1"/>
  <c r="L41" i="1"/>
  <c r="M41" i="1"/>
  <c r="N41" i="1" s="1"/>
  <c r="O41" i="1" s="1"/>
  <c r="T41" i="1"/>
  <c r="L42" i="1"/>
  <c r="M42" i="1"/>
  <c r="N42" i="1" s="1"/>
  <c r="O42" i="1" s="1"/>
  <c r="T42" i="1"/>
  <c r="U42" i="1"/>
  <c r="V42" i="1" s="1"/>
  <c r="W42" i="1" s="1"/>
  <c r="L43" i="1"/>
  <c r="M43" i="1"/>
  <c r="N43" i="1"/>
  <c r="O43" i="1" s="1"/>
  <c r="T43" i="1"/>
  <c r="U43" i="1"/>
  <c r="V43" i="1" s="1"/>
  <c r="W43" i="1" s="1"/>
  <c r="L44" i="1"/>
  <c r="M44" i="1"/>
  <c r="U44" i="1" s="1"/>
  <c r="V44" i="1" s="1"/>
  <c r="W44" i="1" s="1"/>
  <c r="X44" i="1" s="1"/>
  <c r="Y44" i="1" s="1"/>
  <c r="T44" i="1"/>
  <c r="L45" i="1"/>
  <c r="M45" i="1"/>
  <c r="N45" i="1" s="1"/>
  <c r="O45" i="1" s="1"/>
  <c r="T45" i="1"/>
  <c r="L46" i="1"/>
  <c r="M46" i="1"/>
  <c r="N46" i="1" s="1"/>
  <c r="O46" i="1" s="1"/>
  <c r="T46" i="1"/>
  <c r="U46" i="1"/>
  <c r="V46" i="1" s="1"/>
  <c r="W46" i="1" s="1"/>
  <c r="L47" i="1"/>
  <c r="M47" i="1"/>
  <c r="N47" i="1"/>
  <c r="O47" i="1" s="1"/>
  <c r="T47" i="1"/>
  <c r="U47" i="1"/>
  <c r="V47" i="1" s="1"/>
  <c r="W47" i="1" s="1"/>
  <c r="L48" i="1"/>
  <c r="M48" i="1"/>
  <c r="U48" i="1" s="1"/>
  <c r="V48" i="1" s="1"/>
  <c r="W48" i="1" s="1"/>
  <c r="X48" i="1" s="1"/>
  <c r="Y48" i="1" s="1"/>
  <c r="T48" i="1"/>
  <c r="L49" i="1"/>
  <c r="M49" i="1"/>
  <c r="N49" i="1" s="1"/>
  <c r="O49" i="1" s="1"/>
  <c r="T49" i="1"/>
  <c r="L55" i="1"/>
  <c r="M55" i="1"/>
  <c r="N55" i="1" s="1"/>
  <c r="O55" i="1" s="1"/>
  <c r="T55" i="1"/>
  <c r="L56" i="1"/>
  <c r="M56" i="1"/>
  <c r="N56" i="1" s="1"/>
  <c r="O56" i="1" s="1"/>
  <c r="T56" i="1"/>
  <c r="U56" i="1"/>
  <c r="V56" i="1" s="1"/>
  <c r="W56" i="1" s="1"/>
  <c r="L57" i="1"/>
  <c r="M57" i="1"/>
  <c r="N57" i="1"/>
  <c r="O57" i="1" s="1"/>
  <c r="T57" i="1"/>
  <c r="U57" i="1"/>
  <c r="V57" i="1" s="1"/>
  <c r="W57" i="1" s="1"/>
  <c r="X57" i="1" s="1"/>
  <c r="Y57" i="1" s="1"/>
  <c r="L63" i="1"/>
  <c r="M63" i="1"/>
  <c r="N63" i="1"/>
  <c r="O63" i="1" s="1"/>
  <c r="T63" i="1"/>
  <c r="U63" i="1"/>
  <c r="V63" i="1" s="1"/>
  <c r="W63" i="1" s="1"/>
  <c r="L64" i="1"/>
  <c r="M64" i="1"/>
  <c r="U64" i="1" s="1"/>
  <c r="V64" i="1" s="1"/>
  <c r="W64" i="1" s="1"/>
  <c r="T64" i="1"/>
  <c r="L65" i="1"/>
  <c r="M65" i="1"/>
  <c r="N65" i="1" s="1"/>
  <c r="O65" i="1" s="1"/>
  <c r="T65" i="1"/>
  <c r="O85" i="1"/>
  <c r="W85" i="1"/>
  <c r="X64" i="1" l="1"/>
  <c r="Y64" i="1" s="1"/>
  <c r="Q43" i="1"/>
  <c r="P43" i="1"/>
  <c r="X33" i="1"/>
  <c r="Y33" i="1" s="1"/>
  <c r="P63" i="1"/>
  <c r="Q63" i="1" s="1"/>
  <c r="P49" i="1"/>
  <c r="Q49" i="1" s="1"/>
  <c r="P65" i="1"/>
  <c r="Q65" i="1" s="1"/>
  <c r="X42" i="1"/>
  <c r="Y42" i="1"/>
  <c r="P35" i="1"/>
  <c r="Q35" i="1"/>
  <c r="P15" i="1"/>
  <c r="Q15" i="1" s="1"/>
  <c r="X63" i="1"/>
  <c r="Y63" i="1" s="1"/>
  <c r="P56" i="1"/>
  <c r="Q56" i="1"/>
  <c r="X46" i="1"/>
  <c r="Y46" i="1"/>
  <c r="X24" i="1"/>
  <c r="Y24" i="1"/>
  <c r="P11" i="1"/>
  <c r="Q11" i="1" s="1"/>
  <c r="X56" i="1"/>
  <c r="Y56" i="1"/>
  <c r="N8" i="1"/>
  <c r="O8" i="1" s="1"/>
  <c r="U8" i="1"/>
  <c r="V8" i="1" s="1"/>
  <c r="W8" i="1" s="1"/>
  <c r="P42" i="1"/>
  <c r="Q42" i="1"/>
  <c r="X43" i="1"/>
  <c r="Y43" i="1" s="1"/>
  <c r="X27" i="1"/>
  <c r="Y27" i="1"/>
  <c r="X14" i="1"/>
  <c r="Y14" i="1"/>
  <c r="X12" i="1"/>
  <c r="Y12" i="1" s="1"/>
  <c r="P46" i="1"/>
  <c r="Q46" i="1" s="1"/>
  <c r="X34" i="1"/>
  <c r="Y34" i="1"/>
  <c r="P26" i="1"/>
  <c r="Q26" i="1"/>
  <c r="X16" i="1"/>
  <c r="Y16" i="1" s="1"/>
  <c r="P57" i="1"/>
  <c r="Q57" i="1" s="1"/>
  <c r="P55" i="1"/>
  <c r="Q55" i="1" s="1"/>
  <c r="O58" i="1"/>
  <c r="X47" i="1"/>
  <c r="Y47" i="1" s="1"/>
  <c r="X10" i="1"/>
  <c r="Y10" i="1" s="1"/>
  <c r="P41" i="1"/>
  <c r="Q41" i="1"/>
  <c r="P12" i="1"/>
  <c r="Q12" i="1"/>
  <c r="P16" i="1"/>
  <c r="Q16" i="1"/>
  <c r="Q47" i="1"/>
  <c r="P47" i="1"/>
  <c r="P45" i="1"/>
  <c r="Q45" i="1"/>
  <c r="P25" i="1"/>
  <c r="Q25" i="1"/>
  <c r="N64" i="1"/>
  <c r="O64" i="1" s="1"/>
  <c r="O66" i="1" s="1"/>
  <c r="N48" i="1"/>
  <c r="O48" i="1" s="1"/>
  <c r="N44" i="1"/>
  <c r="O44" i="1" s="1"/>
  <c r="O50" i="1" s="1"/>
  <c r="N34" i="1"/>
  <c r="O34" i="1" s="1"/>
  <c r="N24" i="1"/>
  <c r="O24" i="1" s="1"/>
  <c r="N14" i="1"/>
  <c r="O14" i="1" s="1"/>
  <c r="N10" i="1"/>
  <c r="O10" i="1" s="1"/>
  <c r="U65" i="1"/>
  <c r="V65" i="1" s="1"/>
  <c r="W65" i="1" s="1"/>
  <c r="U55" i="1"/>
  <c r="V55" i="1" s="1"/>
  <c r="W55" i="1" s="1"/>
  <c r="U49" i="1"/>
  <c r="V49" i="1" s="1"/>
  <c r="W49" i="1" s="1"/>
  <c r="U45" i="1"/>
  <c r="V45" i="1" s="1"/>
  <c r="W45" i="1" s="1"/>
  <c r="U41" i="1"/>
  <c r="V41" i="1" s="1"/>
  <c r="W41" i="1" s="1"/>
  <c r="U35" i="1"/>
  <c r="V35" i="1" s="1"/>
  <c r="W35" i="1" s="1"/>
  <c r="X35" i="1" s="1"/>
  <c r="Y35" i="1" s="1"/>
  <c r="U25" i="1"/>
  <c r="V25" i="1" s="1"/>
  <c r="W25" i="1" s="1"/>
  <c r="U15" i="1"/>
  <c r="V15" i="1" s="1"/>
  <c r="W15" i="1" s="1"/>
  <c r="U11" i="1"/>
  <c r="V11" i="1" s="1"/>
  <c r="W11" i="1" s="1"/>
  <c r="O51" i="1" l="1"/>
  <c r="O52" i="1"/>
  <c r="O67" i="1"/>
  <c r="O68" i="1" s="1"/>
  <c r="P10" i="1"/>
  <c r="Q10" i="1" s="1"/>
  <c r="X25" i="1"/>
  <c r="Y25" i="1"/>
  <c r="P24" i="1"/>
  <c r="Q24" i="1"/>
  <c r="X65" i="1"/>
  <c r="Y65" i="1" s="1"/>
  <c r="X41" i="1"/>
  <c r="Y41" i="1" s="1"/>
  <c r="W50" i="1"/>
  <c r="P34" i="1"/>
  <c r="Q34" i="1" s="1"/>
  <c r="O36" i="1"/>
  <c r="P8" i="1"/>
  <c r="Q8" i="1" s="1"/>
  <c r="O18" i="1"/>
  <c r="P14" i="1"/>
  <c r="Q14" i="1"/>
  <c r="X45" i="1"/>
  <c r="Y45" i="1" s="1"/>
  <c r="P44" i="1"/>
  <c r="Q44" i="1"/>
  <c r="O59" i="1"/>
  <c r="O60" i="1" s="1"/>
  <c r="P48" i="1"/>
  <c r="Q48" i="1"/>
  <c r="W36" i="1"/>
  <c r="X11" i="1"/>
  <c r="Y11" i="1"/>
  <c r="X15" i="1"/>
  <c r="Y15" i="1" s="1"/>
  <c r="X49" i="1"/>
  <c r="Y49" i="1"/>
  <c r="W66" i="1"/>
  <c r="U23" i="1"/>
  <c r="V23" i="1" s="1"/>
  <c r="W23" i="1" s="1"/>
  <c r="N23" i="1"/>
  <c r="O23" i="1" s="1"/>
  <c r="Y55" i="1"/>
  <c r="W58" i="1"/>
  <c r="X55" i="1"/>
  <c r="P64" i="1"/>
  <c r="Q64" i="1"/>
  <c r="X8" i="1"/>
  <c r="Y8" i="1" s="1"/>
  <c r="W18" i="1"/>
  <c r="BN65" i="5"/>
  <c r="BA65" i="5"/>
  <c r="AN65" i="5"/>
  <c r="AA65" i="5"/>
  <c r="N65" i="5"/>
  <c r="X23" i="1" l="1"/>
  <c r="Y23" i="1" s="1"/>
  <c r="W28" i="1"/>
  <c r="W70" i="1" s="1"/>
  <c r="W67" i="1"/>
  <c r="W68" i="1" s="1"/>
  <c r="W51" i="1"/>
  <c r="W52" i="1" s="1"/>
  <c r="W37" i="1"/>
  <c r="W38" i="1"/>
  <c r="W59" i="1"/>
  <c r="W60" i="1" s="1"/>
  <c r="O19" i="1"/>
  <c r="O20" i="1" s="1"/>
  <c r="W19" i="1"/>
  <c r="W20" i="1" s="1"/>
  <c r="O28" i="1"/>
  <c r="P23" i="1"/>
  <c r="Q23" i="1" s="1"/>
  <c r="O37" i="1"/>
  <c r="O38" i="1" s="1"/>
  <c r="BB79" i="3"/>
  <c r="AQ79" i="3"/>
  <c r="AF79" i="3"/>
  <c r="U79" i="3"/>
  <c r="J79" i="3"/>
  <c r="A79" i="3"/>
  <c r="O29" i="1" l="1"/>
  <c r="O71" i="1" s="1"/>
  <c r="O70" i="1"/>
  <c r="W29" i="1"/>
  <c r="W71" i="1" s="1"/>
  <c r="W72" i="1" s="1"/>
  <c r="W87" i="1" s="1"/>
  <c r="AJ63" i="1"/>
  <c r="AB63" i="1"/>
  <c r="F63" i="1"/>
  <c r="G63" i="1" s="1"/>
  <c r="D63" i="1"/>
  <c r="AJ13" i="1"/>
  <c r="AB13" i="1"/>
  <c r="F13" i="1"/>
  <c r="G13" i="1" s="1"/>
  <c r="D13" i="1"/>
  <c r="AQ79" i="1"/>
  <c r="C13" i="5"/>
  <c r="D13" i="5" s="1"/>
  <c r="AJ49" i="1"/>
  <c r="AJ48" i="1"/>
  <c r="AJ47" i="1"/>
  <c r="AB49" i="1"/>
  <c r="AB48" i="1"/>
  <c r="AB47" i="1"/>
  <c r="F49" i="1"/>
  <c r="G49" i="1" s="1"/>
  <c r="H49" i="1" s="1"/>
  <c r="I49" i="1" s="1"/>
  <c r="F48" i="1"/>
  <c r="G48" i="1" s="1"/>
  <c r="F47" i="1"/>
  <c r="G47" i="1" s="1"/>
  <c r="H47" i="1" s="1"/>
  <c r="D49" i="1"/>
  <c r="D48" i="1"/>
  <c r="D47" i="1"/>
  <c r="BC41" i="5"/>
  <c r="BD41" i="5" s="1"/>
  <c r="BC42" i="5"/>
  <c r="BD42" i="5" s="1"/>
  <c r="BC43" i="5"/>
  <c r="BD43" i="5" s="1"/>
  <c r="AP41" i="5"/>
  <c r="AQ41" i="5" s="1"/>
  <c r="AP42" i="5"/>
  <c r="AQ42" i="5" s="1"/>
  <c r="AP43" i="5"/>
  <c r="AQ43" i="5" s="1"/>
  <c r="AC41" i="5"/>
  <c r="AD41" i="5" s="1"/>
  <c r="AC42" i="5"/>
  <c r="AD42" i="5" s="1"/>
  <c r="AC43" i="5"/>
  <c r="AD43" i="5" s="1"/>
  <c r="P41" i="5"/>
  <c r="Q41" i="5" s="1"/>
  <c r="P42" i="5"/>
  <c r="Q42" i="5" s="1"/>
  <c r="P43" i="5"/>
  <c r="Q43" i="5" s="1"/>
  <c r="E41" i="5"/>
  <c r="R41" i="5" s="1"/>
  <c r="AE41" i="5" s="1"/>
  <c r="E42" i="5"/>
  <c r="R42" i="5" s="1"/>
  <c r="T42" i="5" s="1"/>
  <c r="E43" i="5"/>
  <c r="G43" i="5" s="1"/>
  <c r="C41" i="5"/>
  <c r="D41" i="5" s="1"/>
  <c r="C42" i="5"/>
  <c r="D42" i="5" s="1"/>
  <c r="C43" i="5"/>
  <c r="D43" i="5" s="1"/>
  <c r="A41" i="5"/>
  <c r="A42" i="5"/>
  <c r="A43" i="5"/>
  <c r="AU47" i="3"/>
  <c r="AV47" i="3" s="1"/>
  <c r="B171" i="4" s="1"/>
  <c r="AU48" i="3"/>
  <c r="AV48" i="3" s="1"/>
  <c r="B172" i="4" s="1"/>
  <c r="AU49" i="3"/>
  <c r="AV49" i="3" s="1"/>
  <c r="B173" i="4" s="1"/>
  <c r="AJ47" i="3"/>
  <c r="AK47" i="3" s="1"/>
  <c r="AJ48" i="3"/>
  <c r="AK48" i="3" s="1"/>
  <c r="B136" i="4" s="1"/>
  <c r="AJ49" i="3"/>
  <c r="AK49" i="3" s="1"/>
  <c r="B137" i="4" s="1"/>
  <c r="Y47" i="3"/>
  <c r="Z47" i="3" s="1"/>
  <c r="B99" i="4" s="1"/>
  <c r="Y48" i="3"/>
  <c r="Z48" i="3" s="1"/>
  <c r="B100" i="4" s="1"/>
  <c r="Y49" i="3"/>
  <c r="Z49" i="3" s="1"/>
  <c r="N47" i="3"/>
  <c r="O47" i="3" s="1"/>
  <c r="B63" i="4" s="1"/>
  <c r="N48" i="3"/>
  <c r="O48" i="3" s="1"/>
  <c r="B64" i="4" s="1"/>
  <c r="N49" i="3"/>
  <c r="O49" i="3" s="1"/>
  <c r="E47" i="3"/>
  <c r="E48" i="3"/>
  <c r="G48" i="3" s="1"/>
  <c r="C28" i="4" s="1"/>
  <c r="E49" i="3"/>
  <c r="G49" i="3" s="1"/>
  <c r="C47" i="3"/>
  <c r="D47" i="3" s="1"/>
  <c r="B27" i="4" s="1"/>
  <c r="C48" i="3"/>
  <c r="D48" i="3" s="1"/>
  <c r="C49" i="3"/>
  <c r="D49" i="3" s="1"/>
  <c r="A47" i="3"/>
  <c r="A27" i="4" s="1"/>
  <c r="A48" i="3"/>
  <c r="A100" i="4" s="1"/>
  <c r="A49" i="3"/>
  <c r="A137" i="4" s="1"/>
  <c r="E46" i="3"/>
  <c r="P46" i="3" s="1"/>
  <c r="E39" i="5"/>
  <c r="E40" i="5"/>
  <c r="R40" i="5" s="1"/>
  <c r="T40" i="5" s="1"/>
  <c r="E38" i="5"/>
  <c r="F38" i="5" s="1"/>
  <c r="BC39" i="5"/>
  <c r="BD39" i="5" s="1"/>
  <c r="BC40" i="5"/>
  <c r="BD40" i="5" s="1"/>
  <c r="BC38" i="5"/>
  <c r="BD38" i="5" s="1"/>
  <c r="AP39" i="5"/>
  <c r="AQ39" i="5" s="1"/>
  <c r="AP40" i="5"/>
  <c r="AQ40" i="5" s="1"/>
  <c r="AP38" i="5"/>
  <c r="AQ38" i="5" s="1"/>
  <c r="AC39" i="5"/>
  <c r="AD39" i="5" s="1"/>
  <c r="AC40" i="5"/>
  <c r="AD40" i="5" s="1"/>
  <c r="AC38" i="5"/>
  <c r="AD38" i="5" s="1"/>
  <c r="P39" i="5"/>
  <c r="Q39" i="5" s="1"/>
  <c r="P40" i="5"/>
  <c r="Q40" i="5" s="1"/>
  <c r="P38" i="5"/>
  <c r="Q38" i="5" s="1"/>
  <c r="C39" i="5"/>
  <c r="D39" i="5" s="1"/>
  <c r="C40" i="5"/>
  <c r="D40" i="5" s="1"/>
  <c r="C38" i="5"/>
  <c r="D38" i="5" s="1"/>
  <c r="E45" i="3"/>
  <c r="P45" i="3" s="1"/>
  <c r="E44" i="3"/>
  <c r="P44" i="3" s="1"/>
  <c r="AA44" i="3" s="1"/>
  <c r="E43" i="3"/>
  <c r="P43" i="3" s="1"/>
  <c r="AA43" i="3" s="1"/>
  <c r="AB43" i="3" s="1"/>
  <c r="AU45" i="3"/>
  <c r="AV45" i="3" s="1"/>
  <c r="B169" i="4" s="1"/>
  <c r="AU46" i="3"/>
  <c r="AV46" i="3" s="1"/>
  <c r="B170" i="4" s="1"/>
  <c r="AU44" i="3"/>
  <c r="AV44" i="3" s="1"/>
  <c r="B168" i="4" s="1"/>
  <c r="AJ45" i="3"/>
  <c r="AK45" i="3" s="1"/>
  <c r="B133" i="4" s="1"/>
  <c r="AJ46" i="3"/>
  <c r="AK46" i="3" s="1"/>
  <c r="B134" i="4" s="1"/>
  <c r="AJ44" i="3"/>
  <c r="AK44" i="3" s="1"/>
  <c r="B132" i="4" s="1"/>
  <c r="Y45" i="3"/>
  <c r="Z45" i="3" s="1"/>
  <c r="B97" i="4" s="1"/>
  <c r="Y46" i="3"/>
  <c r="Z46" i="3" s="1"/>
  <c r="Y44" i="3"/>
  <c r="Z44" i="3" s="1"/>
  <c r="B96" i="4" s="1"/>
  <c r="N45" i="3"/>
  <c r="O45" i="3" s="1"/>
  <c r="N46" i="3"/>
  <c r="O46" i="3" s="1"/>
  <c r="B62" i="4" s="1"/>
  <c r="N44" i="3"/>
  <c r="O44" i="3" s="1"/>
  <c r="C45" i="3"/>
  <c r="D45" i="3" s="1"/>
  <c r="C46" i="3"/>
  <c r="D46" i="3" s="1"/>
  <c r="B26" i="4" s="1"/>
  <c r="C44" i="3"/>
  <c r="D44" i="3" s="1"/>
  <c r="AJ46" i="1"/>
  <c r="AJ45" i="1"/>
  <c r="AJ44" i="1"/>
  <c r="AB46" i="1"/>
  <c r="AB45" i="1"/>
  <c r="AB44" i="1"/>
  <c r="F46" i="1"/>
  <c r="G46" i="1" s="1"/>
  <c r="F45" i="1"/>
  <c r="G45" i="1" s="1"/>
  <c r="F44" i="1"/>
  <c r="G44" i="1" s="1"/>
  <c r="D46" i="1"/>
  <c r="D45" i="1"/>
  <c r="D44" i="1"/>
  <c r="C35" i="5"/>
  <c r="D35" i="5" s="1"/>
  <c r="E35" i="5"/>
  <c r="G35" i="5" s="1"/>
  <c r="H35" i="5" s="1"/>
  <c r="C36" i="5"/>
  <c r="D36" i="5" s="1"/>
  <c r="E36" i="5"/>
  <c r="R36" i="5" s="1"/>
  <c r="AE36" i="5" s="1"/>
  <c r="C37" i="5"/>
  <c r="D37" i="5" s="1"/>
  <c r="E37" i="5"/>
  <c r="G37" i="5" s="1"/>
  <c r="H37" i="5" s="1"/>
  <c r="P35" i="5"/>
  <c r="Q35" i="5" s="1"/>
  <c r="P36" i="5"/>
  <c r="Q36" i="5" s="1"/>
  <c r="P37" i="5"/>
  <c r="Q37" i="5" s="1"/>
  <c r="AC35" i="5"/>
  <c r="AD35" i="5" s="1"/>
  <c r="AC36" i="5"/>
  <c r="AD36" i="5" s="1"/>
  <c r="AC37" i="5"/>
  <c r="AD37" i="5" s="1"/>
  <c r="AP35" i="5"/>
  <c r="AQ35" i="5" s="1"/>
  <c r="AP36" i="5"/>
  <c r="AQ36" i="5" s="1"/>
  <c r="AP37" i="5"/>
  <c r="AQ37" i="5" s="1"/>
  <c r="BC35" i="5"/>
  <c r="BD35" i="5" s="1"/>
  <c r="BC36" i="5"/>
  <c r="BD36" i="5" s="1"/>
  <c r="BC37" i="5"/>
  <c r="BD37" i="5" s="1"/>
  <c r="AU41" i="3"/>
  <c r="AV41" i="3" s="1"/>
  <c r="B165" i="4" s="1"/>
  <c r="E41" i="3"/>
  <c r="P41" i="3" s="1"/>
  <c r="AU42" i="3"/>
  <c r="AV42" i="3" s="1"/>
  <c r="B166" i="4" s="1"/>
  <c r="E42" i="3"/>
  <c r="F42" i="3" s="1"/>
  <c r="AU43" i="3"/>
  <c r="AV43" i="3" s="1"/>
  <c r="B167" i="4" s="1"/>
  <c r="AJ41" i="3"/>
  <c r="AK41" i="3" s="1"/>
  <c r="B129" i="4" s="1"/>
  <c r="AJ42" i="3"/>
  <c r="AK42" i="3" s="1"/>
  <c r="B130" i="4" s="1"/>
  <c r="AJ43" i="3"/>
  <c r="AK43" i="3" s="1"/>
  <c r="B131" i="4" s="1"/>
  <c r="Y41" i="3"/>
  <c r="Z41" i="3" s="1"/>
  <c r="B93" i="4" s="1"/>
  <c r="Y42" i="3"/>
  <c r="Z42" i="3" s="1"/>
  <c r="B94" i="4" s="1"/>
  <c r="Y43" i="3"/>
  <c r="Z43" i="3" s="1"/>
  <c r="B95" i="4" s="1"/>
  <c r="N41" i="3"/>
  <c r="O41" i="3" s="1"/>
  <c r="B57" i="4" s="1"/>
  <c r="N42" i="3"/>
  <c r="O42" i="3" s="1"/>
  <c r="B58" i="4" s="1"/>
  <c r="N43" i="3"/>
  <c r="O43" i="3" s="1"/>
  <c r="B59" i="4" s="1"/>
  <c r="C41" i="3"/>
  <c r="D41" i="3" s="1"/>
  <c r="B21" i="4" s="1"/>
  <c r="C42" i="3"/>
  <c r="D42" i="3" s="1"/>
  <c r="C43" i="3"/>
  <c r="D43" i="3" s="1"/>
  <c r="AC46" i="1"/>
  <c r="AD46" i="1" s="1"/>
  <c r="AE46" i="1" s="1"/>
  <c r="AF46" i="1" s="1"/>
  <c r="AG46" i="1" s="1"/>
  <c r="A38" i="5"/>
  <c r="A39" i="5"/>
  <c r="A40" i="5"/>
  <c r="A44" i="3"/>
  <c r="A24" i="4" s="1"/>
  <c r="A45" i="3"/>
  <c r="A97" i="4" s="1"/>
  <c r="A46" i="3"/>
  <c r="E65" i="3"/>
  <c r="P65" i="3" s="1"/>
  <c r="AA65" i="3" s="1"/>
  <c r="AL65" i="3" s="1"/>
  <c r="AN65" i="3" s="1"/>
  <c r="E64" i="3"/>
  <c r="AC57" i="1"/>
  <c r="AK57" i="1" s="1"/>
  <c r="AL57" i="1" s="1"/>
  <c r="AM57" i="1" s="1"/>
  <c r="AC55" i="1"/>
  <c r="AD55" i="1" s="1"/>
  <c r="AE55" i="1" s="1"/>
  <c r="AC34" i="1"/>
  <c r="AD34" i="1" s="1"/>
  <c r="AE34" i="1" s="1"/>
  <c r="AC33" i="1"/>
  <c r="AC26" i="1"/>
  <c r="AD26" i="1" s="1"/>
  <c r="AE26" i="1" s="1"/>
  <c r="AC14" i="1"/>
  <c r="AC8" i="1"/>
  <c r="AK8" i="1" s="1"/>
  <c r="AL8" i="1" s="1"/>
  <c r="AM8" i="1" s="1"/>
  <c r="AN8" i="1" s="1"/>
  <c r="AO8" i="1" s="1"/>
  <c r="BN68" i="5"/>
  <c r="BN69" i="5"/>
  <c r="BN67" i="5"/>
  <c r="BN62" i="5"/>
  <c r="BN63" i="5"/>
  <c r="BN64" i="5"/>
  <c r="BN61" i="5"/>
  <c r="BA68" i="5"/>
  <c r="BA69" i="5"/>
  <c r="BA67" i="5"/>
  <c r="BA62" i="5"/>
  <c r="BA63" i="5"/>
  <c r="BA64" i="5"/>
  <c r="BA61" i="5"/>
  <c r="AN68" i="5"/>
  <c r="AN69" i="5"/>
  <c r="AN67" i="5"/>
  <c r="AN62" i="5"/>
  <c r="AN63" i="5"/>
  <c r="AN64" i="5"/>
  <c r="AN61" i="5"/>
  <c r="AA68" i="5"/>
  <c r="AA69" i="5"/>
  <c r="AA67" i="5"/>
  <c r="AA62" i="5"/>
  <c r="AA63" i="5"/>
  <c r="AA64" i="5"/>
  <c r="AA61" i="5"/>
  <c r="N68" i="5"/>
  <c r="N69" i="5"/>
  <c r="N67" i="5"/>
  <c r="N62" i="5"/>
  <c r="N63" i="5"/>
  <c r="N64" i="5"/>
  <c r="N61" i="5"/>
  <c r="A69" i="5"/>
  <c r="A68" i="5"/>
  <c r="A67" i="5"/>
  <c r="A65" i="5"/>
  <c r="A64" i="5"/>
  <c r="A63" i="5"/>
  <c r="A62" i="5"/>
  <c r="A61" i="5"/>
  <c r="BC55" i="5"/>
  <c r="BD55" i="5" s="1"/>
  <c r="AP55" i="5"/>
  <c r="AQ55" i="5" s="1"/>
  <c r="AC55" i="5"/>
  <c r="AD55" i="5" s="1"/>
  <c r="P55" i="5"/>
  <c r="Q55" i="5" s="1"/>
  <c r="E55" i="5"/>
  <c r="F55" i="5" s="1"/>
  <c r="C55" i="5"/>
  <c r="D55" i="5" s="1"/>
  <c r="A55" i="5"/>
  <c r="BC54" i="5"/>
  <c r="BD54" i="5" s="1"/>
  <c r="AP54" i="5"/>
  <c r="AQ54" i="5" s="1"/>
  <c r="AC54" i="5"/>
  <c r="AD54" i="5" s="1"/>
  <c r="P54" i="5"/>
  <c r="Q54" i="5" s="1"/>
  <c r="E54" i="5"/>
  <c r="F54" i="5" s="1"/>
  <c r="C54" i="5"/>
  <c r="D54" i="5" s="1"/>
  <c r="A54" i="5"/>
  <c r="BC53" i="5"/>
  <c r="BD53" i="5" s="1"/>
  <c r="AP53" i="5"/>
  <c r="AQ53" i="5" s="1"/>
  <c r="AC53" i="5"/>
  <c r="AD53" i="5" s="1"/>
  <c r="P53" i="5"/>
  <c r="Q53" i="5" s="1"/>
  <c r="C53" i="5"/>
  <c r="D53" i="5" s="1"/>
  <c r="A53" i="5"/>
  <c r="BC49" i="5"/>
  <c r="BD49" i="5" s="1"/>
  <c r="AP49" i="5"/>
  <c r="AQ49" i="5" s="1"/>
  <c r="AC49" i="5"/>
  <c r="AD49" i="5" s="1"/>
  <c r="P49" i="5"/>
  <c r="Q49" i="5" s="1"/>
  <c r="E49" i="5"/>
  <c r="C49" i="5"/>
  <c r="D49" i="5" s="1"/>
  <c r="A49" i="5"/>
  <c r="BC48" i="5"/>
  <c r="BD48" i="5" s="1"/>
  <c r="AP48" i="5"/>
  <c r="AQ48" i="5" s="1"/>
  <c r="AC48" i="5"/>
  <c r="AD48" i="5" s="1"/>
  <c r="P48" i="5"/>
  <c r="Q48" i="5" s="1"/>
  <c r="E48" i="5"/>
  <c r="G48" i="5" s="1"/>
  <c r="C48" i="5"/>
  <c r="D48" i="5" s="1"/>
  <c r="A48" i="5"/>
  <c r="BC47" i="5"/>
  <c r="BD47" i="5" s="1"/>
  <c r="AP47" i="5"/>
  <c r="AQ47" i="5" s="1"/>
  <c r="AC47" i="5"/>
  <c r="AD47" i="5" s="1"/>
  <c r="P47" i="5"/>
  <c r="Q47" i="5" s="1"/>
  <c r="E47" i="5"/>
  <c r="G47" i="5" s="1"/>
  <c r="H47" i="5" s="1"/>
  <c r="I47" i="5" s="1"/>
  <c r="M47" i="5" s="1"/>
  <c r="C47" i="5"/>
  <c r="D47" i="5" s="1"/>
  <c r="A47" i="5"/>
  <c r="A37" i="5"/>
  <c r="A36" i="5"/>
  <c r="A35" i="5"/>
  <c r="BC31" i="5"/>
  <c r="BD31" i="5" s="1"/>
  <c r="AP31" i="5"/>
  <c r="AQ31" i="5" s="1"/>
  <c r="AC31" i="5"/>
  <c r="AD31" i="5" s="1"/>
  <c r="P31" i="5"/>
  <c r="Q31" i="5" s="1"/>
  <c r="E31" i="5"/>
  <c r="C31" i="5"/>
  <c r="D31" i="5" s="1"/>
  <c r="A31" i="5"/>
  <c r="BC30" i="5"/>
  <c r="BD30" i="5" s="1"/>
  <c r="AP30" i="5"/>
  <c r="AQ30" i="5" s="1"/>
  <c r="AC30" i="5"/>
  <c r="AD30" i="5" s="1"/>
  <c r="P30" i="5"/>
  <c r="Q30" i="5" s="1"/>
  <c r="E30" i="5"/>
  <c r="G30" i="5" s="1"/>
  <c r="H30" i="5" s="1"/>
  <c r="I30" i="5" s="1"/>
  <c r="M30" i="5" s="1"/>
  <c r="C30" i="5"/>
  <c r="D30" i="5" s="1"/>
  <c r="A30" i="5"/>
  <c r="BC29" i="5"/>
  <c r="BD29" i="5" s="1"/>
  <c r="AP29" i="5"/>
  <c r="AQ29" i="5" s="1"/>
  <c r="AC29" i="5"/>
  <c r="AD29" i="5" s="1"/>
  <c r="P29" i="5"/>
  <c r="Q29" i="5" s="1"/>
  <c r="E29" i="5"/>
  <c r="R29" i="5" s="1"/>
  <c r="T29" i="5" s="1"/>
  <c r="U29" i="5" s="1"/>
  <c r="C29" i="5"/>
  <c r="D29" i="5" s="1"/>
  <c r="A29" i="5"/>
  <c r="BC25" i="5"/>
  <c r="BD25" i="5" s="1"/>
  <c r="AP25" i="5"/>
  <c r="AQ25" i="5" s="1"/>
  <c r="AC25" i="5"/>
  <c r="AD25" i="5" s="1"/>
  <c r="P25" i="5"/>
  <c r="Q25" i="5" s="1"/>
  <c r="E25" i="5"/>
  <c r="C25" i="5"/>
  <c r="D25" i="5" s="1"/>
  <c r="A25" i="5"/>
  <c r="BC24" i="5"/>
  <c r="BD24" i="5" s="1"/>
  <c r="AP24" i="5"/>
  <c r="AQ24" i="5" s="1"/>
  <c r="AC24" i="5"/>
  <c r="AD24" i="5" s="1"/>
  <c r="P24" i="5"/>
  <c r="Q24" i="5" s="1"/>
  <c r="E24" i="5"/>
  <c r="C24" i="5"/>
  <c r="D24" i="5" s="1"/>
  <c r="A24" i="5"/>
  <c r="BC23" i="5"/>
  <c r="BD23" i="5" s="1"/>
  <c r="AP23" i="5"/>
  <c r="AQ23" i="5" s="1"/>
  <c r="AC23" i="5"/>
  <c r="AD23" i="5" s="1"/>
  <c r="P23" i="5"/>
  <c r="Q23" i="5" s="1"/>
  <c r="E23" i="5"/>
  <c r="F23" i="5" s="1"/>
  <c r="C23" i="5"/>
  <c r="D23" i="5" s="1"/>
  <c r="A23" i="5"/>
  <c r="BC22" i="5"/>
  <c r="BD22" i="5" s="1"/>
  <c r="AP22" i="5"/>
  <c r="AQ22" i="5" s="1"/>
  <c r="AC22" i="5"/>
  <c r="AD22" i="5" s="1"/>
  <c r="P22" i="5"/>
  <c r="Q22" i="5" s="1"/>
  <c r="E22" i="5"/>
  <c r="G22" i="5" s="1"/>
  <c r="H22" i="5" s="1"/>
  <c r="I22" i="5" s="1"/>
  <c r="M22" i="5" s="1"/>
  <c r="C22" i="5"/>
  <c r="D22" i="5" s="1"/>
  <c r="A22" i="5"/>
  <c r="BC21" i="5"/>
  <c r="BD21" i="5" s="1"/>
  <c r="AP21" i="5"/>
  <c r="AQ21" i="5" s="1"/>
  <c r="AC21" i="5"/>
  <c r="AD21" i="5" s="1"/>
  <c r="P21" i="5"/>
  <c r="Q21" i="5" s="1"/>
  <c r="E21" i="5"/>
  <c r="R21" i="5" s="1"/>
  <c r="C21" i="5"/>
  <c r="D21" i="5" s="1"/>
  <c r="A21" i="5"/>
  <c r="BC17" i="5"/>
  <c r="BD17" i="5" s="1"/>
  <c r="AP17" i="5"/>
  <c r="AQ17" i="5" s="1"/>
  <c r="AC17" i="5"/>
  <c r="AD17" i="5" s="1"/>
  <c r="P17" i="5"/>
  <c r="Q17" i="5" s="1"/>
  <c r="E17" i="5"/>
  <c r="R17" i="5" s="1"/>
  <c r="T17" i="5" s="1"/>
  <c r="U17" i="5" s="1"/>
  <c r="V17" i="5" s="1"/>
  <c r="Z17" i="5" s="1"/>
  <c r="C17" i="5"/>
  <c r="D17" i="5" s="1"/>
  <c r="A17" i="5"/>
  <c r="BC16" i="5"/>
  <c r="BD16" i="5" s="1"/>
  <c r="AP16" i="5"/>
  <c r="AQ16" i="5" s="1"/>
  <c r="AC16" i="5"/>
  <c r="AD16" i="5" s="1"/>
  <c r="P16" i="5"/>
  <c r="Q16" i="5" s="1"/>
  <c r="E16" i="5"/>
  <c r="F16" i="5" s="1"/>
  <c r="C16" i="5"/>
  <c r="D16" i="5" s="1"/>
  <c r="A16" i="5"/>
  <c r="BC15" i="5"/>
  <c r="BD15" i="5" s="1"/>
  <c r="AP15" i="5"/>
  <c r="AQ15" i="5" s="1"/>
  <c r="AC15" i="5"/>
  <c r="AD15" i="5" s="1"/>
  <c r="P15" i="5"/>
  <c r="Q15" i="5" s="1"/>
  <c r="E15" i="5"/>
  <c r="R15" i="5" s="1"/>
  <c r="C15" i="5"/>
  <c r="D15" i="5" s="1"/>
  <c r="A15" i="5"/>
  <c r="BC14" i="5"/>
  <c r="BD14" i="5" s="1"/>
  <c r="AP14" i="5"/>
  <c r="AQ14" i="5" s="1"/>
  <c r="AC14" i="5"/>
  <c r="AD14" i="5" s="1"/>
  <c r="P14" i="5"/>
  <c r="Q14" i="5" s="1"/>
  <c r="E14" i="5"/>
  <c r="F14" i="5" s="1"/>
  <c r="C14" i="5"/>
  <c r="D14" i="5" s="1"/>
  <c r="A14" i="5"/>
  <c r="BC13" i="5"/>
  <c r="BD13" i="5" s="1"/>
  <c r="AP13" i="5"/>
  <c r="AQ13" i="5" s="1"/>
  <c r="AC13" i="5"/>
  <c r="AD13" i="5" s="1"/>
  <c r="P13" i="5"/>
  <c r="Q13" i="5" s="1"/>
  <c r="E13" i="5"/>
  <c r="R13" i="5" s="1"/>
  <c r="A13" i="5"/>
  <c r="BC12" i="5"/>
  <c r="BD12" i="5" s="1"/>
  <c r="AP12" i="5"/>
  <c r="AQ12" i="5" s="1"/>
  <c r="AC12" i="5"/>
  <c r="AD12" i="5" s="1"/>
  <c r="P12" i="5"/>
  <c r="Q12" i="5" s="1"/>
  <c r="E12" i="5"/>
  <c r="F12" i="5" s="1"/>
  <c r="C12" i="5"/>
  <c r="D12" i="5" s="1"/>
  <c r="A12" i="5"/>
  <c r="BC11" i="5"/>
  <c r="BD11" i="5" s="1"/>
  <c r="AP11" i="5"/>
  <c r="AQ11" i="5" s="1"/>
  <c r="AC11" i="5"/>
  <c r="AD11" i="5" s="1"/>
  <c r="P11" i="5"/>
  <c r="Q11" i="5" s="1"/>
  <c r="E11" i="5"/>
  <c r="F11" i="5" s="1"/>
  <c r="C11" i="5"/>
  <c r="D11" i="5" s="1"/>
  <c r="A11" i="5"/>
  <c r="BC10" i="5"/>
  <c r="BD10" i="5" s="1"/>
  <c r="AP10" i="5"/>
  <c r="AQ10" i="5" s="1"/>
  <c r="AC10" i="5"/>
  <c r="AD10" i="5" s="1"/>
  <c r="P10" i="5"/>
  <c r="Q10" i="5" s="1"/>
  <c r="E10" i="5"/>
  <c r="F10" i="5" s="1"/>
  <c r="C10" i="5"/>
  <c r="D10" i="5" s="1"/>
  <c r="A10" i="5"/>
  <c r="BC9" i="5"/>
  <c r="BD9" i="5" s="1"/>
  <c r="AP9" i="5"/>
  <c r="AQ9" i="5" s="1"/>
  <c r="AC9" i="5"/>
  <c r="AD9" i="5" s="1"/>
  <c r="P9" i="5"/>
  <c r="Q9" i="5" s="1"/>
  <c r="E9" i="5"/>
  <c r="G9" i="5" s="1"/>
  <c r="C9" i="5"/>
  <c r="D9" i="5" s="1"/>
  <c r="A9" i="5"/>
  <c r="BC8" i="5"/>
  <c r="BD8" i="5" s="1"/>
  <c r="AP8" i="5"/>
  <c r="AQ8" i="5" s="1"/>
  <c r="AC8" i="5"/>
  <c r="AD8" i="5" s="1"/>
  <c r="P8" i="5"/>
  <c r="Q8" i="5" s="1"/>
  <c r="E8" i="5"/>
  <c r="G8" i="5" s="1"/>
  <c r="H8" i="5" s="1"/>
  <c r="I8" i="5" s="1"/>
  <c r="M8" i="5" s="1"/>
  <c r="C8" i="5"/>
  <c r="D8" i="5" s="1"/>
  <c r="A8" i="5"/>
  <c r="AU65" i="3"/>
  <c r="AV65" i="3" s="1"/>
  <c r="B179" i="4" s="1"/>
  <c r="AU64" i="3"/>
  <c r="AV64" i="3" s="1"/>
  <c r="B178" i="4" s="1"/>
  <c r="AU63" i="3"/>
  <c r="AV63" i="3" s="1"/>
  <c r="B177" i="4" s="1"/>
  <c r="AJ65" i="3"/>
  <c r="AK65" i="3" s="1"/>
  <c r="AJ64" i="3"/>
  <c r="AK64" i="3" s="1"/>
  <c r="B142" i="4" s="1"/>
  <c r="AJ63" i="3"/>
  <c r="AK63" i="3" s="1"/>
  <c r="B141" i="4" s="1"/>
  <c r="Y65" i="3"/>
  <c r="Z65" i="3" s="1"/>
  <c r="Y64" i="3"/>
  <c r="Z64" i="3" s="1"/>
  <c r="B106" i="4" s="1"/>
  <c r="Y63" i="3"/>
  <c r="Z63" i="3" s="1"/>
  <c r="B105" i="4" s="1"/>
  <c r="N65" i="3"/>
  <c r="O65" i="3" s="1"/>
  <c r="B71" i="4" s="1"/>
  <c r="N64" i="3"/>
  <c r="O64" i="3" s="1"/>
  <c r="B70" i="4" s="1"/>
  <c r="N63" i="3"/>
  <c r="O63" i="3" s="1"/>
  <c r="B69" i="4" s="1"/>
  <c r="C65" i="3"/>
  <c r="D65" i="3" s="1"/>
  <c r="B35" i="4" s="1"/>
  <c r="C64" i="3"/>
  <c r="D64" i="3" s="1"/>
  <c r="B34" i="4" s="1"/>
  <c r="C63" i="3"/>
  <c r="D63" i="3" s="1"/>
  <c r="B33" i="4" s="1"/>
  <c r="A65" i="3"/>
  <c r="A35" i="4" s="1"/>
  <c r="A64" i="3"/>
  <c r="A106" i="4" s="1"/>
  <c r="A63" i="3"/>
  <c r="A141" i="4" s="1"/>
  <c r="A57" i="3"/>
  <c r="C33" i="3"/>
  <c r="D33" i="3" s="1"/>
  <c r="B18" i="4" s="1"/>
  <c r="E33" i="3"/>
  <c r="P33" i="3" s="1"/>
  <c r="C34" i="3"/>
  <c r="D34" i="3" s="1"/>
  <c r="E34" i="3"/>
  <c r="F34" i="3" s="1"/>
  <c r="C35" i="3"/>
  <c r="D35" i="3" s="1"/>
  <c r="E35" i="3"/>
  <c r="N33" i="3"/>
  <c r="O33" i="3" s="1"/>
  <c r="N34" i="3"/>
  <c r="O34" i="3" s="1"/>
  <c r="B55" i="4" s="1"/>
  <c r="N35" i="3"/>
  <c r="O35" i="3" s="1"/>
  <c r="Y33" i="3"/>
  <c r="Z33" i="3" s="1"/>
  <c r="B90" i="4" s="1"/>
  <c r="Y34" i="3"/>
  <c r="Z34" i="3" s="1"/>
  <c r="Y35" i="3"/>
  <c r="Z35" i="3" s="1"/>
  <c r="B92" i="4" s="1"/>
  <c r="AJ33" i="3"/>
  <c r="AK33" i="3" s="1"/>
  <c r="AJ34" i="3"/>
  <c r="AK34" i="3" s="1"/>
  <c r="AJ35" i="3"/>
  <c r="AK35" i="3" s="1"/>
  <c r="B128" i="4" s="1"/>
  <c r="AU33" i="3"/>
  <c r="AV33" i="3" s="1"/>
  <c r="B162" i="4" s="1"/>
  <c r="AU34" i="3"/>
  <c r="AV34" i="3" s="1"/>
  <c r="AU35" i="3"/>
  <c r="AV35" i="3" s="1"/>
  <c r="B164" i="4" s="1"/>
  <c r="C55" i="3"/>
  <c r="D55" i="3" s="1"/>
  <c r="B30" i="4" s="1"/>
  <c r="AJ65" i="1"/>
  <c r="AJ64" i="1"/>
  <c r="AB65" i="1"/>
  <c r="AB64" i="1"/>
  <c r="F64" i="1"/>
  <c r="G64" i="1" s="1"/>
  <c r="F65" i="1"/>
  <c r="G65" i="1" s="1"/>
  <c r="H65" i="1" s="1"/>
  <c r="D65" i="1"/>
  <c r="D64" i="1"/>
  <c r="BB83" i="3"/>
  <c r="BB82" i="3"/>
  <c r="BB81" i="3"/>
  <c r="BB78" i="3"/>
  <c r="BB77" i="3"/>
  <c r="BB76" i="3"/>
  <c r="BB75" i="3"/>
  <c r="AU57" i="3"/>
  <c r="AV57" i="3" s="1"/>
  <c r="B176" i="4" s="1"/>
  <c r="AU56" i="3"/>
  <c r="AV56" i="3" s="1"/>
  <c r="B175" i="4" s="1"/>
  <c r="AU55" i="3"/>
  <c r="AV55" i="3" s="1"/>
  <c r="B174" i="4" s="1"/>
  <c r="AU27" i="3"/>
  <c r="AV27" i="3" s="1"/>
  <c r="B161" i="4" s="1"/>
  <c r="AU26" i="3"/>
  <c r="AV26" i="3" s="1"/>
  <c r="B160" i="4" s="1"/>
  <c r="AU25" i="3"/>
  <c r="AV25" i="3" s="1"/>
  <c r="B159" i="4" s="1"/>
  <c r="AU24" i="3"/>
  <c r="AV24" i="3" s="1"/>
  <c r="B158" i="4" s="1"/>
  <c r="AU23" i="3"/>
  <c r="AV23" i="3" s="1"/>
  <c r="B157" i="4" s="1"/>
  <c r="AU17" i="3"/>
  <c r="AV17" i="3" s="1"/>
  <c r="B156" i="4" s="1"/>
  <c r="AU16" i="3"/>
  <c r="AV16" i="3" s="1"/>
  <c r="B155" i="4" s="1"/>
  <c r="AU15" i="3"/>
  <c r="AV15" i="3" s="1"/>
  <c r="B154" i="4" s="1"/>
  <c r="AU14" i="3"/>
  <c r="AV14" i="3" s="1"/>
  <c r="B153" i="4" s="1"/>
  <c r="AU13" i="3"/>
  <c r="AV13" i="3" s="1"/>
  <c r="B152" i="4" s="1"/>
  <c r="AU12" i="3"/>
  <c r="AV12" i="3" s="1"/>
  <c r="B151" i="4" s="1"/>
  <c r="AU11" i="3"/>
  <c r="AV11" i="3" s="1"/>
  <c r="B150" i="4" s="1"/>
  <c r="AU10" i="3"/>
  <c r="AV10" i="3" s="1"/>
  <c r="B149" i="4" s="1"/>
  <c r="AU9" i="3"/>
  <c r="AV9" i="3" s="1"/>
  <c r="B148" i="4" s="1"/>
  <c r="AU8" i="3"/>
  <c r="AV8" i="3" s="1"/>
  <c r="B147" i="4" s="1"/>
  <c r="AQ83" i="3"/>
  <c r="AQ82" i="3"/>
  <c r="AQ81" i="3"/>
  <c r="AQ78" i="3"/>
  <c r="AQ77" i="3"/>
  <c r="AQ76" i="3"/>
  <c r="AQ75" i="3"/>
  <c r="AJ57" i="3"/>
  <c r="AK57" i="3" s="1"/>
  <c r="B140" i="4" s="1"/>
  <c r="AJ56" i="3"/>
  <c r="AK56" i="3" s="1"/>
  <c r="AJ55" i="3"/>
  <c r="AK55" i="3" s="1"/>
  <c r="B138" i="4" s="1"/>
  <c r="AJ27" i="3"/>
  <c r="AK27" i="3" s="1"/>
  <c r="B125" i="4" s="1"/>
  <c r="AJ26" i="3"/>
  <c r="AK26" i="3" s="1"/>
  <c r="B124" i="4" s="1"/>
  <c r="AJ25" i="3"/>
  <c r="AK25" i="3" s="1"/>
  <c r="B123" i="4" s="1"/>
  <c r="AJ24" i="3"/>
  <c r="AK24" i="3" s="1"/>
  <c r="B122" i="4" s="1"/>
  <c r="AJ23" i="3"/>
  <c r="AK23" i="3" s="1"/>
  <c r="B121" i="4" s="1"/>
  <c r="AJ17" i="3"/>
  <c r="AK17" i="3" s="1"/>
  <c r="B120" i="4" s="1"/>
  <c r="AJ16" i="3"/>
  <c r="AK16" i="3" s="1"/>
  <c r="AJ15" i="3"/>
  <c r="AK15" i="3" s="1"/>
  <c r="B118" i="4" s="1"/>
  <c r="AJ14" i="3"/>
  <c r="AK14" i="3" s="1"/>
  <c r="B117" i="4" s="1"/>
  <c r="AJ13" i="3"/>
  <c r="AK13" i="3" s="1"/>
  <c r="B116" i="4" s="1"/>
  <c r="AJ12" i="3"/>
  <c r="AK12" i="3" s="1"/>
  <c r="B115" i="4" s="1"/>
  <c r="AJ11" i="3"/>
  <c r="AK11" i="3" s="1"/>
  <c r="B114" i="4" s="1"/>
  <c r="AJ10" i="3"/>
  <c r="AK10" i="3" s="1"/>
  <c r="B113" i="4" s="1"/>
  <c r="AJ9" i="3"/>
  <c r="AK9" i="3" s="1"/>
  <c r="AJ8" i="3"/>
  <c r="AK8" i="3" s="1"/>
  <c r="B111" i="4" s="1"/>
  <c r="AF83" i="3"/>
  <c r="AF82" i="3"/>
  <c r="AF81" i="3"/>
  <c r="AF78" i="3"/>
  <c r="AF77" i="3"/>
  <c r="AF76" i="3"/>
  <c r="AF75" i="3"/>
  <c r="Y57" i="3"/>
  <c r="Z57" i="3" s="1"/>
  <c r="Y56" i="3"/>
  <c r="Z56" i="3" s="1"/>
  <c r="B103" i="4" s="1"/>
  <c r="Y55" i="3"/>
  <c r="Z55" i="3" s="1"/>
  <c r="B102" i="4" s="1"/>
  <c r="Y27" i="3"/>
  <c r="Z27" i="3" s="1"/>
  <c r="B89" i="4" s="1"/>
  <c r="Y26" i="3"/>
  <c r="Z26" i="3" s="1"/>
  <c r="B88" i="4" s="1"/>
  <c r="Y25" i="3"/>
  <c r="Z25" i="3" s="1"/>
  <c r="B87" i="4" s="1"/>
  <c r="Y24" i="3"/>
  <c r="Z24" i="3" s="1"/>
  <c r="B86" i="4" s="1"/>
  <c r="Y23" i="3"/>
  <c r="Z23" i="3" s="1"/>
  <c r="Y17" i="3"/>
  <c r="Z17" i="3" s="1"/>
  <c r="B84" i="4" s="1"/>
  <c r="Y16" i="3"/>
  <c r="Z16" i="3" s="1"/>
  <c r="Y15" i="3"/>
  <c r="Z15" i="3" s="1"/>
  <c r="B82" i="4" s="1"/>
  <c r="Y14" i="3"/>
  <c r="Z14" i="3" s="1"/>
  <c r="Y13" i="3"/>
  <c r="Z13" i="3" s="1"/>
  <c r="B80" i="4" s="1"/>
  <c r="Y12" i="3"/>
  <c r="Z12" i="3" s="1"/>
  <c r="B79" i="4" s="1"/>
  <c r="Y11" i="3"/>
  <c r="Z11" i="3" s="1"/>
  <c r="B78" i="4" s="1"/>
  <c r="Y10" i="3"/>
  <c r="Z10" i="3" s="1"/>
  <c r="B77" i="4" s="1"/>
  <c r="Y9" i="3"/>
  <c r="Z9" i="3" s="1"/>
  <c r="B76" i="4" s="1"/>
  <c r="Y8" i="3"/>
  <c r="Z8" i="3" s="1"/>
  <c r="B75" i="4" s="1"/>
  <c r="U83" i="3"/>
  <c r="U82" i="3"/>
  <c r="U81" i="3"/>
  <c r="U78" i="3"/>
  <c r="U77" i="3"/>
  <c r="U76" i="3"/>
  <c r="U75" i="3"/>
  <c r="N57" i="3"/>
  <c r="O57" i="3" s="1"/>
  <c r="N56" i="3"/>
  <c r="O56" i="3" s="1"/>
  <c r="B67" i="4" s="1"/>
  <c r="N55" i="3"/>
  <c r="O55" i="3" s="1"/>
  <c r="B66" i="4" s="1"/>
  <c r="B56" i="4"/>
  <c r="N27" i="3"/>
  <c r="O27" i="3" s="1"/>
  <c r="N26" i="3"/>
  <c r="O26" i="3" s="1"/>
  <c r="B52" i="4" s="1"/>
  <c r="N25" i="3"/>
  <c r="O25" i="3" s="1"/>
  <c r="B51" i="4" s="1"/>
  <c r="N24" i="3"/>
  <c r="O24" i="3" s="1"/>
  <c r="B50" i="4" s="1"/>
  <c r="N23" i="3"/>
  <c r="O23" i="3" s="1"/>
  <c r="B49" i="4" s="1"/>
  <c r="N17" i="3"/>
  <c r="O17" i="3" s="1"/>
  <c r="N16" i="3"/>
  <c r="O16" i="3" s="1"/>
  <c r="B47" i="4" s="1"/>
  <c r="N15" i="3"/>
  <c r="O15" i="3" s="1"/>
  <c r="N14" i="3"/>
  <c r="O14" i="3" s="1"/>
  <c r="B45" i="4" s="1"/>
  <c r="N13" i="3"/>
  <c r="O13" i="3" s="1"/>
  <c r="B44" i="4" s="1"/>
  <c r="N12" i="3"/>
  <c r="O12" i="3" s="1"/>
  <c r="B43" i="4" s="1"/>
  <c r="N11" i="3"/>
  <c r="O11" i="3" s="1"/>
  <c r="B42" i="4" s="1"/>
  <c r="N10" i="3"/>
  <c r="O10" i="3" s="1"/>
  <c r="B41" i="4" s="1"/>
  <c r="N9" i="3"/>
  <c r="O9" i="3" s="1"/>
  <c r="N8" i="3"/>
  <c r="O8" i="3" s="1"/>
  <c r="J83" i="3"/>
  <c r="J82" i="3"/>
  <c r="J81" i="3"/>
  <c r="J78" i="3"/>
  <c r="J77" i="3"/>
  <c r="J76" i="3"/>
  <c r="J75" i="3"/>
  <c r="E57" i="3"/>
  <c r="E56" i="3"/>
  <c r="E55" i="3"/>
  <c r="F55" i="3" s="1"/>
  <c r="E27" i="3"/>
  <c r="G27" i="3" s="1"/>
  <c r="E26" i="3"/>
  <c r="F26" i="3" s="1"/>
  <c r="E25" i="3"/>
  <c r="E24" i="3"/>
  <c r="E23" i="3"/>
  <c r="P23" i="3" s="1"/>
  <c r="E17" i="3"/>
  <c r="F17" i="3" s="1"/>
  <c r="E16" i="3"/>
  <c r="P16" i="3" s="1"/>
  <c r="AA16" i="3" s="1"/>
  <c r="AC16" i="3" s="1"/>
  <c r="C83" i="4" s="1"/>
  <c r="E15" i="3"/>
  <c r="G15" i="3" s="1"/>
  <c r="H15" i="3" s="1"/>
  <c r="D10" i="4" s="1"/>
  <c r="E14" i="3"/>
  <c r="G14" i="3" s="1"/>
  <c r="E13" i="3"/>
  <c r="F13" i="3" s="1"/>
  <c r="E12" i="3"/>
  <c r="G12" i="3" s="1"/>
  <c r="E11" i="3"/>
  <c r="P11" i="3" s="1"/>
  <c r="E10" i="3"/>
  <c r="E9" i="3"/>
  <c r="P9" i="3" s="1"/>
  <c r="AA9" i="3" s="1"/>
  <c r="AL9" i="3" s="1"/>
  <c r="E8" i="3"/>
  <c r="P8" i="3" s="1"/>
  <c r="AA8" i="3" s="1"/>
  <c r="C57" i="3"/>
  <c r="D57" i="3" s="1"/>
  <c r="C56" i="3"/>
  <c r="D56" i="3" s="1"/>
  <c r="C27" i="3"/>
  <c r="D27" i="3" s="1"/>
  <c r="B17" i="4" s="1"/>
  <c r="C26" i="3"/>
  <c r="D26" i="3" s="1"/>
  <c r="B16" i="4" s="1"/>
  <c r="C25" i="3"/>
  <c r="D25" i="3" s="1"/>
  <c r="C24" i="3"/>
  <c r="D24" i="3" s="1"/>
  <c r="C23" i="3"/>
  <c r="D23" i="3" s="1"/>
  <c r="B13" i="4" s="1"/>
  <c r="C17" i="3"/>
  <c r="D17" i="3" s="1"/>
  <c r="C16" i="3"/>
  <c r="D16" i="3" s="1"/>
  <c r="C15" i="3"/>
  <c r="D15" i="3" s="1"/>
  <c r="C14" i="3"/>
  <c r="D14" i="3" s="1"/>
  <c r="B9" i="4" s="1"/>
  <c r="C13" i="3"/>
  <c r="D13" i="3" s="1"/>
  <c r="B8" i="4" s="1"/>
  <c r="C12" i="3"/>
  <c r="D12" i="3" s="1"/>
  <c r="B7" i="4" s="1"/>
  <c r="C11" i="3"/>
  <c r="D11" i="3" s="1"/>
  <c r="B6" i="4" s="1"/>
  <c r="C10" i="3"/>
  <c r="D10" i="3" s="1"/>
  <c r="C9" i="3"/>
  <c r="D9" i="3" s="1"/>
  <c r="B4" i="4" s="1"/>
  <c r="C8" i="3"/>
  <c r="D8" i="3" s="1"/>
  <c r="A83" i="3"/>
  <c r="A82" i="3"/>
  <c r="A81" i="3"/>
  <c r="A78" i="3"/>
  <c r="A77" i="3"/>
  <c r="A76" i="3"/>
  <c r="A75" i="3"/>
  <c r="A56" i="3"/>
  <c r="A55" i="3"/>
  <c r="A43" i="3"/>
  <c r="A23" i="4" s="1"/>
  <c r="A42" i="3"/>
  <c r="A94" i="4" s="1"/>
  <c r="A41" i="3"/>
  <c r="A57" i="4" s="1"/>
  <c r="A35" i="3"/>
  <c r="A56" i="4" s="1"/>
  <c r="A34" i="3"/>
  <c r="A33" i="3"/>
  <c r="A54" i="4" s="1"/>
  <c r="A27" i="3"/>
  <c r="A53" i="4" s="1"/>
  <c r="A26" i="3"/>
  <c r="A16" i="4" s="1"/>
  <c r="A25" i="3"/>
  <c r="A123" i="4" s="1"/>
  <c r="A24" i="3"/>
  <c r="A86" i="4" s="1"/>
  <c r="A23" i="3"/>
  <c r="A13" i="4" s="1"/>
  <c r="A17" i="3"/>
  <c r="A12" i="4" s="1"/>
  <c r="A16" i="3"/>
  <c r="A15" i="3"/>
  <c r="A46" i="4" s="1"/>
  <c r="A14" i="3"/>
  <c r="A81" i="4" s="1"/>
  <c r="A13" i="3"/>
  <c r="A12" i="3"/>
  <c r="A7" i="4" s="1"/>
  <c r="A11" i="3"/>
  <c r="A42" i="4" s="1"/>
  <c r="A10" i="3"/>
  <c r="A41" i="4" s="1"/>
  <c r="A9" i="3"/>
  <c r="A148" i="4" s="1"/>
  <c r="A8" i="3"/>
  <c r="A39" i="4" s="1"/>
  <c r="AJ14" i="1"/>
  <c r="AJ15" i="1"/>
  <c r="AJ10" i="1"/>
  <c r="AJ11" i="1"/>
  <c r="AJ24" i="1"/>
  <c r="AJ25" i="1"/>
  <c r="AB24" i="1"/>
  <c r="AB25" i="1"/>
  <c r="AB14" i="1"/>
  <c r="AB15" i="1"/>
  <c r="AB10" i="1"/>
  <c r="AB11" i="1"/>
  <c r="F25" i="1"/>
  <c r="G25" i="1" s="1"/>
  <c r="F24" i="1"/>
  <c r="G24" i="1" s="1"/>
  <c r="D24" i="1"/>
  <c r="D25" i="1"/>
  <c r="F14" i="1"/>
  <c r="G14" i="1" s="1"/>
  <c r="H14" i="1" s="1"/>
  <c r="I14" i="1" s="1"/>
  <c r="F15" i="1"/>
  <c r="G15" i="1" s="1"/>
  <c r="H15" i="1" s="1"/>
  <c r="I15" i="1" s="1"/>
  <c r="F10" i="1"/>
  <c r="G10" i="1" s="1"/>
  <c r="H10" i="1" s="1"/>
  <c r="I10" i="1" s="1"/>
  <c r="F11" i="1"/>
  <c r="G11" i="1" s="1"/>
  <c r="D14" i="1"/>
  <c r="D15" i="1"/>
  <c r="D10" i="1"/>
  <c r="D11" i="1"/>
  <c r="AJ16" i="1"/>
  <c r="AJ9" i="1"/>
  <c r="AB16" i="1"/>
  <c r="AB9" i="1"/>
  <c r="F16" i="1"/>
  <c r="G16" i="1" s="1"/>
  <c r="H16" i="1" s="1"/>
  <c r="I16" i="1" s="1"/>
  <c r="F9" i="1"/>
  <c r="G9" i="1" s="1"/>
  <c r="D16" i="1"/>
  <c r="D9" i="1"/>
  <c r="AQ83" i="1"/>
  <c r="AQ82" i="1"/>
  <c r="AQ81" i="1"/>
  <c r="AQ78" i="1"/>
  <c r="AQ77" i="1"/>
  <c r="AQ76" i="1"/>
  <c r="AQ75" i="1"/>
  <c r="AM85" i="1"/>
  <c r="AE85" i="1"/>
  <c r="G85" i="1"/>
  <c r="F56" i="1"/>
  <c r="G56" i="1" s="1"/>
  <c r="F43" i="1"/>
  <c r="G43" i="1" s="1"/>
  <c r="H43" i="1" s="1"/>
  <c r="I43" i="1" s="1"/>
  <c r="F41" i="1"/>
  <c r="G41" i="1" s="1"/>
  <c r="F34" i="1"/>
  <c r="G34" i="1" s="1"/>
  <c r="F12" i="1"/>
  <c r="G12" i="1" s="1"/>
  <c r="H12" i="1" s="1"/>
  <c r="I12" i="1" s="1"/>
  <c r="F8" i="1"/>
  <c r="G8" i="1" s="1"/>
  <c r="F33" i="1"/>
  <c r="G33" i="1" s="1"/>
  <c r="H33" i="1" s="1"/>
  <c r="I33" i="1" s="1"/>
  <c r="AJ26" i="1"/>
  <c r="AB26" i="1"/>
  <c r="F26" i="1"/>
  <c r="G26" i="1" s="1"/>
  <c r="F42" i="1"/>
  <c r="G42" i="1" s="1"/>
  <c r="H42" i="1" s="1"/>
  <c r="I42" i="1" s="1"/>
  <c r="D17" i="1"/>
  <c r="F17" i="1"/>
  <c r="G17" i="1" s="1"/>
  <c r="H17" i="1" s="1"/>
  <c r="I17" i="1" s="1"/>
  <c r="AB17" i="1"/>
  <c r="AJ17" i="1"/>
  <c r="AJ57" i="1"/>
  <c r="AB57" i="1"/>
  <c r="F57" i="1"/>
  <c r="G57" i="1" s="1"/>
  <c r="D57" i="1"/>
  <c r="AJ56" i="1"/>
  <c r="AB56" i="1"/>
  <c r="D56" i="1"/>
  <c r="AJ43" i="1"/>
  <c r="AB43" i="1"/>
  <c r="D43" i="1"/>
  <c r="AJ42" i="1"/>
  <c r="AB42" i="1"/>
  <c r="D42" i="1"/>
  <c r="AB8" i="1"/>
  <c r="AJ55" i="1"/>
  <c r="AJ41" i="1"/>
  <c r="AJ35" i="1"/>
  <c r="AJ34" i="1"/>
  <c r="AJ33" i="1"/>
  <c r="AJ27" i="1"/>
  <c r="AJ23" i="1"/>
  <c r="AJ12" i="1"/>
  <c r="AJ8" i="1"/>
  <c r="AB55" i="1"/>
  <c r="AB41" i="1"/>
  <c r="AB35" i="1"/>
  <c r="AB34" i="1"/>
  <c r="AB33" i="1"/>
  <c r="AB27" i="1"/>
  <c r="AB23" i="1"/>
  <c r="AB12" i="1"/>
  <c r="D55" i="1"/>
  <c r="D41" i="1"/>
  <c r="D35" i="1"/>
  <c r="D34" i="1"/>
  <c r="D33" i="1"/>
  <c r="D27" i="1"/>
  <c r="D26" i="1"/>
  <c r="D23" i="1"/>
  <c r="D8" i="1"/>
  <c r="D12" i="1"/>
  <c r="F55" i="1"/>
  <c r="G55" i="1" s="1"/>
  <c r="F35" i="1"/>
  <c r="G35" i="1" s="1"/>
  <c r="F23" i="1"/>
  <c r="G23" i="1" s="1"/>
  <c r="F27" i="1"/>
  <c r="G27" i="1" s="1"/>
  <c r="G16" i="3"/>
  <c r="H16" i="3" s="1"/>
  <c r="D11" i="4" s="1"/>
  <c r="F56" i="3"/>
  <c r="G56" i="3"/>
  <c r="H56" i="3" s="1"/>
  <c r="P56" i="3"/>
  <c r="B31" i="4"/>
  <c r="B22" i="4"/>
  <c r="B126" i="4"/>
  <c r="G12" i="5"/>
  <c r="H12" i="5" s="1"/>
  <c r="R11" i="5"/>
  <c r="S11" i="5" s="1"/>
  <c r="G11" i="5"/>
  <c r="G15" i="5"/>
  <c r="H15" i="5" s="1"/>
  <c r="I15" i="5" s="1"/>
  <c r="M15" i="5" s="1"/>
  <c r="F15" i="5"/>
  <c r="AE15" i="5"/>
  <c r="AF15" i="5" s="1"/>
  <c r="T15" i="5"/>
  <c r="U15" i="5" s="1"/>
  <c r="S15" i="5"/>
  <c r="B23" i="4"/>
  <c r="A142" i="4"/>
  <c r="A135" i="4"/>
  <c r="B163" i="4"/>
  <c r="Q65" i="3"/>
  <c r="AC65" i="3"/>
  <c r="C107" i="4" s="1"/>
  <c r="C31" i="4"/>
  <c r="P17" i="3"/>
  <c r="Q17" i="3" s="1"/>
  <c r="P27" i="3"/>
  <c r="B68" i="4"/>
  <c r="F39" i="5"/>
  <c r="R39" i="5"/>
  <c r="G39" i="5"/>
  <c r="H39" i="5" s="1"/>
  <c r="K39" i="5" s="1"/>
  <c r="A26" i="4"/>
  <c r="B98" i="4"/>
  <c r="A29" i="4"/>
  <c r="B135" i="4"/>
  <c r="Q46" i="3"/>
  <c r="F46" i="3"/>
  <c r="A171" i="4"/>
  <c r="F43" i="5"/>
  <c r="A99" i="4"/>
  <c r="R43" i="5"/>
  <c r="T43" i="5" s="1"/>
  <c r="U43" i="5" s="1"/>
  <c r="A63" i="4"/>
  <c r="B10" i="4"/>
  <c r="AF26" i="1"/>
  <c r="AG26" i="1" s="1"/>
  <c r="O30" i="1" l="1"/>
  <c r="W88" i="1"/>
  <c r="W89" i="1" s="1"/>
  <c r="W90" i="1" s="1"/>
  <c r="W30" i="1"/>
  <c r="A158" i="4"/>
  <c r="A71" i="4"/>
  <c r="O72" i="1"/>
  <c r="O87" i="1" s="1"/>
  <c r="AK34" i="1"/>
  <c r="AL34" i="1" s="1"/>
  <c r="AM34" i="1" s="1"/>
  <c r="AN34" i="1" s="1"/>
  <c r="AO34" i="1" s="1"/>
  <c r="G9" i="3"/>
  <c r="H9" i="3" s="1"/>
  <c r="D4" i="4" s="1"/>
  <c r="A17" i="4"/>
  <c r="F48" i="5"/>
  <c r="AA17" i="3"/>
  <c r="AC17" i="3" s="1"/>
  <c r="C84" i="4" s="1"/>
  <c r="F27" i="3"/>
  <c r="A156" i="4"/>
  <c r="A45" i="4"/>
  <c r="P15" i="3"/>
  <c r="AA15" i="3" s="1"/>
  <c r="AW9" i="3"/>
  <c r="AX9" i="3" s="1"/>
  <c r="AM9" i="3"/>
  <c r="C143" i="4"/>
  <c r="AO65" i="3"/>
  <c r="AP65" i="3" s="1"/>
  <c r="E143" i="4" s="1"/>
  <c r="G143" i="4" s="1"/>
  <c r="R17" i="3"/>
  <c r="C48" i="4" s="1"/>
  <c r="AD57" i="1"/>
  <c r="AE57" i="1" s="1"/>
  <c r="AF57" i="1" s="1"/>
  <c r="AG57" i="1" s="1"/>
  <c r="G17" i="3"/>
  <c r="C12" i="4" s="1"/>
  <c r="G14" i="5"/>
  <c r="H14" i="5" s="1"/>
  <c r="K14" i="5" s="1"/>
  <c r="F9" i="3"/>
  <c r="J37" i="5"/>
  <c r="Q9" i="3"/>
  <c r="X15" i="5"/>
  <c r="G23" i="5"/>
  <c r="A112" i="4"/>
  <c r="BP69" i="5"/>
  <c r="G54" i="5"/>
  <c r="H54" i="5" s="1"/>
  <c r="I54" i="5" s="1"/>
  <c r="M54" i="5" s="1"/>
  <c r="N54" i="5" s="1"/>
  <c r="A149" i="4"/>
  <c r="K35" i="5"/>
  <c r="R9" i="3"/>
  <c r="S9" i="3" s="1"/>
  <c r="A136" i="4"/>
  <c r="AB65" i="3"/>
  <c r="R23" i="5"/>
  <c r="AE23" i="5" s="1"/>
  <c r="AG23" i="5" s="1"/>
  <c r="AH23" i="5" s="1"/>
  <c r="AK23" i="5" s="1"/>
  <c r="G65" i="3"/>
  <c r="AL17" i="3"/>
  <c r="AW17" i="3" s="1"/>
  <c r="AX17" i="3" s="1"/>
  <c r="R65" i="3"/>
  <c r="A77" i="4"/>
  <c r="AB17" i="3"/>
  <c r="A157" i="4"/>
  <c r="F65" i="3"/>
  <c r="BP64" i="5"/>
  <c r="A132" i="4"/>
  <c r="C10" i="4"/>
  <c r="F15" i="3"/>
  <c r="BF76" i="3"/>
  <c r="J8" i="5"/>
  <c r="X29" i="5"/>
  <c r="G36" i="5"/>
  <c r="AD65" i="3"/>
  <c r="AE65" i="3" s="1"/>
  <c r="E107" i="4" s="1"/>
  <c r="G107" i="4" s="1"/>
  <c r="A76" i="4"/>
  <c r="AR15" i="5"/>
  <c r="AS15" i="5" s="1"/>
  <c r="A107" i="4"/>
  <c r="A129" i="4"/>
  <c r="R14" i="5"/>
  <c r="AE14" i="5" s="1"/>
  <c r="AR14" i="5" s="1"/>
  <c r="R10" i="5"/>
  <c r="N30" i="5"/>
  <c r="A18" i="4"/>
  <c r="A128" i="4"/>
  <c r="BF75" i="3"/>
  <c r="A40" i="4"/>
  <c r="AG15" i="5"/>
  <c r="AH15" i="5" s="1"/>
  <c r="AI15" i="5" s="1"/>
  <c r="AM15" i="5" s="1"/>
  <c r="A179" i="4"/>
  <c r="G10" i="5"/>
  <c r="J10" i="5" s="1"/>
  <c r="G17" i="5"/>
  <c r="A126" i="4"/>
  <c r="A92" i="4"/>
  <c r="AC9" i="3"/>
  <c r="AF9" i="3" s="1"/>
  <c r="A93" i="4"/>
  <c r="A4" i="4"/>
  <c r="AN9" i="3"/>
  <c r="AQ9" i="3" s="1"/>
  <c r="A143" i="4"/>
  <c r="A90" i="4"/>
  <c r="A48" i="4"/>
  <c r="AB9" i="3"/>
  <c r="A165" i="4"/>
  <c r="A84" i="4"/>
  <c r="A162" i="4"/>
  <c r="A120" i="4"/>
  <c r="F8" i="5"/>
  <c r="R8" i="5"/>
  <c r="T8" i="5" s="1"/>
  <c r="U8" i="5" s="1"/>
  <c r="X8" i="5" s="1"/>
  <c r="R8" i="3"/>
  <c r="Q8" i="3"/>
  <c r="G29" i="5"/>
  <c r="H29" i="5" s="1"/>
  <c r="I29" i="5" s="1"/>
  <c r="M29" i="5" s="1"/>
  <c r="N29" i="5" s="1"/>
  <c r="A164" i="4"/>
  <c r="G34" i="3"/>
  <c r="H34" i="3" s="1"/>
  <c r="A20" i="4"/>
  <c r="F29" i="5"/>
  <c r="R48" i="5"/>
  <c r="AC44" i="3"/>
  <c r="AL44" i="3"/>
  <c r="AN44" i="3" s="1"/>
  <c r="F41" i="5"/>
  <c r="Q43" i="3"/>
  <c r="F44" i="3"/>
  <c r="AL43" i="3"/>
  <c r="AN43" i="3" s="1"/>
  <c r="AO43" i="3" s="1"/>
  <c r="Q44" i="3"/>
  <c r="A172" i="4"/>
  <c r="F43" i="3"/>
  <c r="AC43" i="3"/>
  <c r="AD43" i="3" s="1"/>
  <c r="AG43" i="3" s="1"/>
  <c r="R43" i="3"/>
  <c r="U43" i="3" s="1"/>
  <c r="AK46" i="1"/>
  <c r="AL46" i="1" s="1"/>
  <c r="AM46" i="1" s="1"/>
  <c r="AN46" i="1" s="1"/>
  <c r="AO46" i="1" s="1"/>
  <c r="R44" i="3"/>
  <c r="S44" i="3" s="1"/>
  <c r="T44" i="3" s="1"/>
  <c r="E60" i="4" s="1"/>
  <c r="G60" i="4" s="1"/>
  <c r="F36" i="5"/>
  <c r="I37" i="5"/>
  <c r="M37" i="5" s="1"/>
  <c r="N37" i="5" s="1"/>
  <c r="F37" i="5"/>
  <c r="A64" i="4"/>
  <c r="G38" i="5"/>
  <c r="H38" i="5" s="1"/>
  <c r="I38" i="5" s="1"/>
  <c r="M38" i="5" s="1"/>
  <c r="N38" i="5" s="1"/>
  <c r="K37" i="5"/>
  <c r="L37" i="5" s="1"/>
  <c r="G43" i="3"/>
  <c r="G55" i="5"/>
  <c r="H27" i="3"/>
  <c r="D17" i="4" s="1"/>
  <c r="J27" i="3"/>
  <c r="C17" i="4"/>
  <c r="A89" i="4"/>
  <c r="A161" i="4"/>
  <c r="A125" i="4"/>
  <c r="Q16" i="3"/>
  <c r="AB16" i="3"/>
  <c r="R16" i="3"/>
  <c r="U16" i="3" s="1"/>
  <c r="F9" i="5"/>
  <c r="F16" i="3"/>
  <c r="A6" i="4"/>
  <c r="AL16" i="3"/>
  <c r="R9" i="5"/>
  <c r="T9" i="5" s="1"/>
  <c r="D143" i="4"/>
  <c r="D107" i="4"/>
  <c r="AG65" i="3"/>
  <c r="I15" i="3"/>
  <c r="E10" i="4" s="1"/>
  <c r="G10" i="4" s="1"/>
  <c r="H10" i="4" s="1"/>
  <c r="K15" i="3"/>
  <c r="BF77" i="3"/>
  <c r="AA11" i="3"/>
  <c r="AL11" i="3" s="1"/>
  <c r="AW11" i="3" s="1"/>
  <c r="Q11" i="3"/>
  <c r="R11" i="3"/>
  <c r="U11" i="3" s="1"/>
  <c r="P10" i="3"/>
  <c r="F10" i="3"/>
  <c r="S29" i="5"/>
  <c r="AE29" i="5"/>
  <c r="AR29" i="5" s="1"/>
  <c r="AT29" i="5" s="1"/>
  <c r="AC8" i="3"/>
  <c r="C75" i="4" s="1"/>
  <c r="AL8" i="3"/>
  <c r="AN8" i="3" s="1"/>
  <c r="AQ8" i="3" s="1"/>
  <c r="I56" i="3"/>
  <c r="E31" i="4" s="1"/>
  <c r="G31" i="4" s="1"/>
  <c r="H31" i="4" s="1"/>
  <c r="D31" i="4"/>
  <c r="BF83" i="3"/>
  <c r="R30" i="5"/>
  <c r="AE30" i="5" s="1"/>
  <c r="AG30" i="5" s="1"/>
  <c r="AH30" i="5" s="1"/>
  <c r="AK30" i="5" s="1"/>
  <c r="F30" i="5"/>
  <c r="G11" i="3"/>
  <c r="J11" i="3" s="1"/>
  <c r="F11" i="3"/>
  <c r="A80" i="4"/>
  <c r="A116" i="4"/>
  <c r="AC10" i="1"/>
  <c r="AK10" i="1" s="1"/>
  <c r="AL10" i="1" s="1"/>
  <c r="AM10" i="1" s="1"/>
  <c r="C40" i="4"/>
  <c r="H11" i="5"/>
  <c r="K11" i="5" s="1"/>
  <c r="AE43" i="5"/>
  <c r="S43" i="5"/>
  <c r="A30" i="4"/>
  <c r="A102" i="4"/>
  <c r="A66" i="4"/>
  <c r="A138" i="4"/>
  <c r="A174" i="4"/>
  <c r="J30" i="5"/>
  <c r="J29" i="5"/>
  <c r="AA56" i="3"/>
  <c r="AL56" i="3" s="1"/>
  <c r="AM56" i="3" s="1"/>
  <c r="R56" i="3"/>
  <c r="Q56" i="3"/>
  <c r="S21" i="5"/>
  <c r="W21" i="5" s="1"/>
  <c r="T21" i="5"/>
  <c r="U21" i="5" s="1"/>
  <c r="V21" i="5" s="1"/>
  <c r="Z21" i="5" s="1"/>
  <c r="AA21" i="5" s="1"/>
  <c r="H46" i="1"/>
  <c r="I46" i="1" s="1"/>
  <c r="B60" i="4"/>
  <c r="F57" i="3"/>
  <c r="G57" i="3"/>
  <c r="H57" i="3" s="1"/>
  <c r="D32" i="4" s="1"/>
  <c r="F24" i="3"/>
  <c r="G24" i="3"/>
  <c r="J24" i="3" s="1"/>
  <c r="P24" i="3"/>
  <c r="F48" i="3"/>
  <c r="P48" i="3"/>
  <c r="R48" i="3" s="1"/>
  <c r="C64" i="4" s="1"/>
  <c r="A88" i="4"/>
  <c r="A124" i="4"/>
  <c r="G10" i="3"/>
  <c r="J10" i="3" s="1"/>
  <c r="A160" i="4"/>
  <c r="AC44" i="1"/>
  <c r="A65" i="4"/>
  <c r="AF65" i="3"/>
  <c r="F8" i="3"/>
  <c r="R47" i="5"/>
  <c r="A113" i="4"/>
  <c r="J56" i="3"/>
  <c r="P55" i="3"/>
  <c r="AA55" i="3" s="1"/>
  <c r="U85" i="3"/>
  <c r="BN71" i="5"/>
  <c r="A101" i="4"/>
  <c r="B107" i="4"/>
  <c r="G8" i="3"/>
  <c r="C3" i="4" s="1"/>
  <c r="F17" i="5"/>
  <c r="F47" i="5"/>
  <c r="A5" i="4"/>
  <c r="G55" i="3"/>
  <c r="C30" i="4" s="1"/>
  <c r="G26" i="3"/>
  <c r="C16" i="4" s="1"/>
  <c r="J85" i="3"/>
  <c r="G21" i="5"/>
  <c r="J21" i="5" s="1"/>
  <c r="BF78" i="3"/>
  <c r="AF85" i="3"/>
  <c r="AK26" i="1"/>
  <c r="AL26" i="1" s="1"/>
  <c r="AM26" i="1" s="1"/>
  <c r="AN26" i="1" s="1"/>
  <c r="AO26" i="1" s="1"/>
  <c r="R38" i="5"/>
  <c r="T38" i="5" s="1"/>
  <c r="U38" i="5" s="1"/>
  <c r="V38" i="5" s="1"/>
  <c r="Z38" i="5" s="1"/>
  <c r="AA38" i="5" s="1"/>
  <c r="A173" i="4"/>
  <c r="I9" i="3"/>
  <c r="E4" i="4" s="1"/>
  <c r="G4" i="4" s="1"/>
  <c r="H4" i="4" s="1"/>
  <c r="P26" i="3"/>
  <c r="F21" i="5"/>
  <c r="T36" i="5"/>
  <c r="N8" i="5"/>
  <c r="W8" i="5"/>
  <c r="AD16" i="3"/>
  <c r="AG16" i="3" s="1"/>
  <c r="G41" i="5"/>
  <c r="J41" i="5" s="1"/>
  <c r="A21" i="4"/>
  <c r="P34" i="3"/>
  <c r="R12" i="5"/>
  <c r="S12" i="5" s="1"/>
  <c r="BP63" i="5"/>
  <c r="BF79" i="3"/>
  <c r="BP65" i="5"/>
  <c r="BB85" i="3"/>
  <c r="H63" i="1"/>
  <c r="I63" i="1" s="1"/>
  <c r="AC63" i="1"/>
  <c r="AC47" i="1"/>
  <c r="AF36" i="5"/>
  <c r="AG36" i="5"/>
  <c r="AR36" i="5"/>
  <c r="U40" i="5"/>
  <c r="X40" i="5" s="1"/>
  <c r="H49" i="3"/>
  <c r="K49" i="3" s="1"/>
  <c r="C29" i="4"/>
  <c r="K56" i="3"/>
  <c r="P57" i="3"/>
  <c r="A105" i="4"/>
  <c r="S36" i="5"/>
  <c r="A131" i="4"/>
  <c r="H48" i="3"/>
  <c r="K48" i="3" s="1"/>
  <c r="G42" i="3"/>
  <c r="A60" i="4"/>
  <c r="A33" i="4"/>
  <c r="J35" i="5"/>
  <c r="A15" i="4"/>
  <c r="A95" i="4"/>
  <c r="P42" i="3"/>
  <c r="A51" i="4"/>
  <c r="F49" i="3"/>
  <c r="A96" i="4"/>
  <c r="A159" i="4"/>
  <c r="G23" i="3"/>
  <c r="A59" i="4"/>
  <c r="P49" i="3"/>
  <c r="A69" i="4"/>
  <c r="A87" i="4"/>
  <c r="F23" i="3"/>
  <c r="I35" i="5"/>
  <c r="M35" i="5" s="1"/>
  <c r="N35" i="5" s="1"/>
  <c r="R35" i="5"/>
  <c r="A168" i="4"/>
  <c r="I65" i="1"/>
  <c r="H48" i="5"/>
  <c r="K48" i="5" s="1"/>
  <c r="F35" i="5"/>
  <c r="A167" i="4"/>
  <c r="H13" i="1"/>
  <c r="I13" i="1" s="1"/>
  <c r="AC13" i="1"/>
  <c r="B5" i="4"/>
  <c r="AD17" i="3"/>
  <c r="AE17" i="3" s="1"/>
  <c r="E84" i="4" s="1"/>
  <c r="G84" i="4" s="1"/>
  <c r="H84" i="4" s="1"/>
  <c r="AF17" i="3"/>
  <c r="BE15" i="5"/>
  <c r="S17" i="3"/>
  <c r="T17" i="3" s="1"/>
  <c r="E48" i="4" s="1"/>
  <c r="G48" i="4" s="1"/>
  <c r="A154" i="4"/>
  <c r="W15" i="5"/>
  <c r="W17" i="5"/>
  <c r="B112" i="4"/>
  <c r="A10" i="4"/>
  <c r="F12" i="3"/>
  <c r="A82" i="4"/>
  <c r="N15" i="5"/>
  <c r="P12" i="3"/>
  <c r="Q12" i="3" s="1"/>
  <c r="AC17" i="1"/>
  <c r="AD17" i="1" s="1"/>
  <c r="AE17" i="1" s="1"/>
  <c r="AF17" i="1" s="1"/>
  <c r="AG17" i="1" s="1"/>
  <c r="AC9" i="1"/>
  <c r="A118" i="4"/>
  <c r="H17" i="3"/>
  <c r="D12" i="4" s="1"/>
  <c r="BF82" i="3"/>
  <c r="U42" i="5"/>
  <c r="X42" i="5" s="1"/>
  <c r="W42" i="5"/>
  <c r="H12" i="3"/>
  <c r="I12" i="3" s="1"/>
  <c r="E7" i="4" s="1"/>
  <c r="G7" i="4" s="1"/>
  <c r="H7" i="4" s="1"/>
  <c r="J12" i="3"/>
  <c r="C7" i="4"/>
  <c r="B48" i="4"/>
  <c r="U17" i="3"/>
  <c r="B119" i="4"/>
  <c r="AC35" i="1"/>
  <c r="H9" i="1"/>
  <c r="I9" i="1" s="1"/>
  <c r="AR65" i="3"/>
  <c r="B143" i="4"/>
  <c r="H143" i="4" s="1"/>
  <c r="AQ65" i="3"/>
  <c r="B65" i="4"/>
  <c r="B85" i="4"/>
  <c r="W38" i="5"/>
  <c r="AC24" i="1"/>
  <c r="AC45" i="1"/>
  <c r="J43" i="5"/>
  <c r="H43" i="5"/>
  <c r="K43" i="5" s="1"/>
  <c r="AJ15" i="5"/>
  <c r="B28" i="4"/>
  <c r="J48" i="3"/>
  <c r="B19" i="4"/>
  <c r="Q23" i="3"/>
  <c r="U23" i="3" s="1"/>
  <c r="R23" i="3"/>
  <c r="AA23" i="3"/>
  <c r="C96" i="4"/>
  <c r="AD44" i="3"/>
  <c r="AE44" i="3" s="1"/>
  <c r="E96" i="4" s="1"/>
  <c r="G96" i="4" s="1"/>
  <c r="H96" i="4" s="1"/>
  <c r="AF44" i="3"/>
  <c r="R33" i="3"/>
  <c r="U33" i="3" s="1"/>
  <c r="AA33" i="3"/>
  <c r="AB33" i="3" s="1"/>
  <c r="Q33" i="3"/>
  <c r="A50" i="4"/>
  <c r="AD8" i="1"/>
  <c r="AE8" i="1" s="1"/>
  <c r="AF8" i="1" s="1"/>
  <c r="AG8" i="1" s="1"/>
  <c r="BF81" i="3"/>
  <c r="AK55" i="1"/>
  <c r="AL55" i="1" s="1"/>
  <c r="AM55" i="1" s="1"/>
  <c r="A25" i="4"/>
  <c r="J48" i="5"/>
  <c r="I16" i="3"/>
  <c r="E11" i="4" s="1"/>
  <c r="G11" i="4" s="1"/>
  <c r="A22" i="4"/>
  <c r="A8" i="4"/>
  <c r="V15" i="5"/>
  <c r="Z15" i="5" s="1"/>
  <c r="AA15" i="5" s="1"/>
  <c r="A14" i="4"/>
  <c r="B127" i="4"/>
  <c r="AQ85" i="1"/>
  <c r="W43" i="5"/>
  <c r="A122" i="4"/>
  <c r="G42" i="5"/>
  <c r="J42" i="5" s="1"/>
  <c r="S42" i="5"/>
  <c r="A61" i="4"/>
  <c r="A151" i="4"/>
  <c r="T14" i="5"/>
  <c r="W14" i="5" s="1"/>
  <c r="A178" i="4"/>
  <c r="J11" i="5"/>
  <c r="L11" i="5" s="1"/>
  <c r="F22" i="5"/>
  <c r="AE42" i="5"/>
  <c r="A43" i="4"/>
  <c r="W29" i="5"/>
  <c r="Y29" i="5" s="1"/>
  <c r="J39" i="5"/>
  <c r="L39" i="5" s="1"/>
  <c r="A79" i="4"/>
  <c r="R22" i="5"/>
  <c r="A166" i="4"/>
  <c r="F41" i="3"/>
  <c r="A58" i="4"/>
  <c r="A177" i="4"/>
  <c r="G44" i="3"/>
  <c r="J44" i="3" s="1"/>
  <c r="F40" i="5"/>
  <c r="I39" i="5"/>
  <c r="M39" i="5" s="1"/>
  <c r="N39" i="5" s="1"/>
  <c r="AB44" i="3"/>
  <c r="A115" i="4"/>
  <c r="AQ85" i="3"/>
  <c r="A130" i="4"/>
  <c r="G40" i="5"/>
  <c r="C11" i="4"/>
  <c r="J16" i="3"/>
  <c r="BP61" i="5"/>
  <c r="G41" i="3"/>
  <c r="N71" i="5"/>
  <c r="R53" i="5"/>
  <c r="E53" i="5"/>
  <c r="E63" i="3"/>
  <c r="AE55" i="5"/>
  <c r="AC65" i="1"/>
  <c r="H64" i="1"/>
  <c r="I64" i="1" s="1"/>
  <c r="A70" i="4"/>
  <c r="U65" i="3"/>
  <c r="A34" i="4"/>
  <c r="R55" i="5"/>
  <c r="AA45" i="3"/>
  <c r="Q45" i="3"/>
  <c r="R45" i="3"/>
  <c r="U45" i="3" s="1"/>
  <c r="G25" i="5"/>
  <c r="F25" i="5"/>
  <c r="R25" i="5"/>
  <c r="G28" i="1"/>
  <c r="G29" i="1" s="1"/>
  <c r="G30" i="1" s="1"/>
  <c r="H23" i="1"/>
  <c r="I23" i="1" s="1"/>
  <c r="A103" i="4"/>
  <c r="A67" i="4"/>
  <c r="A31" i="4"/>
  <c r="A139" i="4"/>
  <c r="A175" i="4"/>
  <c r="H34" i="1"/>
  <c r="I34" i="1" s="1"/>
  <c r="B139" i="4"/>
  <c r="N47" i="5"/>
  <c r="B61" i="4"/>
  <c r="Q27" i="3"/>
  <c r="U27" i="3" s="1"/>
  <c r="R27" i="3"/>
  <c r="AA27" i="3"/>
  <c r="AC27" i="3" s="1"/>
  <c r="A127" i="4"/>
  <c r="A163" i="4"/>
  <c r="A91" i="4"/>
  <c r="A19" i="4"/>
  <c r="A55" i="4"/>
  <c r="K22" i="5"/>
  <c r="J22" i="5"/>
  <c r="AC27" i="1"/>
  <c r="B24" i="4"/>
  <c r="J47" i="5"/>
  <c r="K47" i="5"/>
  <c r="Q41" i="3"/>
  <c r="AA41" i="3"/>
  <c r="R41" i="3"/>
  <c r="S41" i="3" s="1"/>
  <c r="V41" i="3" s="1"/>
  <c r="F45" i="3"/>
  <c r="G45" i="3"/>
  <c r="J45" i="3" s="1"/>
  <c r="AM44" i="3"/>
  <c r="AW44" i="3"/>
  <c r="D28" i="4"/>
  <c r="I48" i="3"/>
  <c r="E28" i="4" s="1"/>
  <c r="G28" i="4" s="1"/>
  <c r="G35" i="3"/>
  <c r="H35" i="3" s="1"/>
  <c r="F35" i="3"/>
  <c r="A32" i="4"/>
  <c r="A176" i="4"/>
  <c r="A68" i="4"/>
  <c r="A140" i="4"/>
  <c r="A104" i="4"/>
  <c r="G49" i="5"/>
  <c r="J49" i="5" s="1"/>
  <c r="F49" i="5"/>
  <c r="R49" i="5"/>
  <c r="AK33" i="1"/>
  <c r="AL33" i="1" s="1"/>
  <c r="AM33" i="1" s="1"/>
  <c r="AN33" i="1" s="1"/>
  <c r="AO33" i="1" s="1"/>
  <c r="AD33" i="1"/>
  <c r="AE33" i="1" s="1"/>
  <c r="AF33" i="1" s="1"/>
  <c r="AG33" i="1" s="1"/>
  <c r="AC56" i="1"/>
  <c r="H36" i="5"/>
  <c r="K36" i="5" s="1"/>
  <c r="J36" i="5"/>
  <c r="H44" i="1"/>
  <c r="I44" i="1" s="1"/>
  <c r="B101" i="4"/>
  <c r="AC23" i="1"/>
  <c r="AK23" i="1" s="1"/>
  <c r="AL23" i="1" s="1"/>
  <c r="AM23" i="1" s="1"/>
  <c r="B15" i="4"/>
  <c r="H24" i="1"/>
  <c r="I24" i="1" s="1"/>
  <c r="A49" i="4"/>
  <c r="A85" i="4"/>
  <c r="A121" i="4"/>
  <c r="F25" i="3"/>
  <c r="P25" i="3"/>
  <c r="G25" i="3"/>
  <c r="J25" i="3" s="1"/>
  <c r="B53" i="4"/>
  <c r="B25" i="4"/>
  <c r="G47" i="3"/>
  <c r="J47" i="3" s="1"/>
  <c r="P47" i="3"/>
  <c r="F47" i="3"/>
  <c r="H41" i="5"/>
  <c r="K41" i="5" s="1"/>
  <c r="H26" i="1"/>
  <c r="I26" i="1" s="1"/>
  <c r="AW56" i="3"/>
  <c r="H55" i="3"/>
  <c r="H56" i="1"/>
  <c r="I56" i="1" s="1"/>
  <c r="H25" i="1"/>
  <c r="I25" i="1" s="1"/>
  <c r="AC49" i="1"/>
  <c r="J49" i="3"/>
  <c r="B29" i="4"/>
  <c r="L56" i="3"/>
  <c r="F31" i="4" s="1"/>
  <c r="V29" i="5"/>
  <c r="Z29" i="5" s="1"/>
  <c r="AA29" i="5" s="1"/>
  <c r="W40" i="5"/>
  <c r="A133" i="4"/>
  <c r="A52" i="4"/>
  <c r="F42" i="5"/>
  <c r="N22" i="5"/>
  <c r="AE21" i="5"/>
  <c r="R37" i="5"/>
  <c r="B81" i="4"/>
  <c r="B83" i="4"/>
  <c r="AF16" i="3"/>
  <c r="J15" i="5"/>
  <c r="K15" i="5"/>
  <c r="B12" i="4"/>
  <c r="J17" i="3"/>
  <c r="J14" i="3"/>
  <c r="H14" i="3"/>
  <c r="C9" i="4"/>
  <c r="P14" i="3"/>
  <c r="B46" i="4"/>
  <c r="A153" i="4"/>
  <c r="A117" i="4"/>
  <c r="AE17" i="5"/>
  <c r="A9" i="4"/>
  <c r="S17" i="5"/>
  <c r="R16" i="5"/>
  <c r="AE16" i="5" s="1"/>
  <c r="AA17" i="5"/>
  <c r="AN15" i="5"/>
  <c r="F14" i="3"/>
  <c r="G16" i="5"/>
  <c r="U14" i="5"/>
  <c r="V14" i="5" s="1"/>
  <c r="Z14" i="5" s="1"/>
  <c r="AA14" i="5" s="1"/>
  <c r="AM11" i="3"/>
  <c r="H8" i="1"/>
  <c r="I8" i="1" s="1"/>
  <c r="J8" i="3"/>
  <c r="B3" i="4"/>
  <c r="H9" i="5"/>
  <c r="I9" i="5" s="1"/>
  <c r="M9" i="5" s="1"/>
  <c r="N9" i="5" s="1"/>
  <c r="U9" i="3"/>
  <c r="B40" i="4"/>
  <c r="AC12" i="1"/>
  <c r="AK14" i="1"/>
  <c r="AL14" i="1" s="1"/>
  <c r="AM14" i="1" s="1"/>
  <c r="AD14" i="1"/>
  <c r="AE14" i="1" s="1"/>
  <c r="AF14" i="1" s="1"/>
  <c r="AG14" i="1" s="1"/>
  <c r="H11" i="1"/>
  <c r="I11" i="1" s="1"/>
  <c r="J9" i="5"/>
  <c r="AD9" i="3"/>
  <c r="AG9" i="3" s="1"/>
  <c r="A75" i="4"/>
  <c r="K8" i="5"/>
  <c r="L8" i="5" s="1"/>
  <c r="B39" i="4"/>
  <c r="C76" i="4"/>
  <c r="A3" i="4"/>
  <c r="A147" i="4"/>
  <c r="A111" i="4"/>
  <c r="AB11" i="3"/>
  <c r="J12" i="5"/>
  <c r="AC11" i="3"/>
  <c r="AF11" i="3" s="1"/>
  <c r="AE11" i="5"/>
  <c r="U8" i="3"/>
  <c r="T11" i="5"/>
  <c r="G18" i="1"/>
  <c r="G19" i="1" s="1"/>
  <c r="G20" i="1" s="1"/>
  <c r="P13" i="3"/>
  <c r="G13" i="3"/>
  <c r="G13" i="5"/>
  <c r="F13" i="5"/>
  <c r="A152" i="4"/>
  <c r="A44" i="4"/>
  <c r="G58" i="1"/>
  <c r="H55" i="1"/>
  <c r="I55" i="1" s="1"/>
  <c r="B14" i="4"/>
  <c r="F31" i="5"/>
  <c r="G31" i="5"/>
  <c r="R31" i="5"/>
  <c r="H45" i="1"/>
  <c r="I45" i="1" s="1"/>
  <c r="G50" i="1"/>
  <c r="C111" i="4"/>
  <c r="AD10" i="1"/>
  <c r="AE10" i="1" s="1"/>
  <c r="AF10" i="1" s="1"/>
  <c r="AG10" i="1" s="1"/>
  <c r="V43" i="5"/>
  <c r="Z43" i="5" s="1"/>
  <c r="AA43" i="5" s="1"/>
  <c r="X43" i="5"/>
  <c r="AR41" i="5"/>
  <c r="AF41" i="5"/>
  <c r="AG41" i="5"/>
  <c r="B91" i="4"/>
  <c r="D95" i="4"/>
  <c r="AF55" i="1"/>
  <c r="AG55" i="1" s="1"/>
  <c r="AF34" i="1"/>
  <c r="AG34" i="1" s="1"/>
  <c r="S41" i="5"/>
  <c r="T41" i="5"/>
  <c r="T39" i="5"/>
  <c r="S39" i="5"/>
  <c r="AE39" i="5"/>
  <c r="AQ57" i="1"/>
  <c r="AN57" i="1"/>
  <c r="AO57" i="1" s="1"/>
  <c r="AS14" i="5"/>
  <c r="BE14" i="5"/>
  <c r="AT14" i="5"/>
  <c r="S13" i="5"/>
  <c r="AE13" i="5"/>
  <c r="T13" i="5"/>
  <c r="H27" i="1"/>
  <c r="I27" i="1" s="1"/>
  <c r="B104" i="4"/>
  <c r="AC15" i="1"/>
  <c r="AC41" i="1"/>
  <c r="AA46" i="3"/>
  <c r="R46" i="3"/>
  <c r="Y15" i="5"/>
  <c r="AG14" i="5"/>
  <c r="AF14" i="5"/>
  <c r="H35" i="1"/>
  <c r="I35" i="1" s="1"/>
  <c r="G36" i="1"/>
  <c r="H41" i="1"/>
  <c r="I41" i="1" s="1"/>
  <c r="K54" i="5"/>
  <c r="J54" i="5"/>
  <c r="R12" i="3"/>
  <c r="AA12" i="3"/>
  <c r="H57" i="1"/>
  <c r="I57" i="1" s="1"/>
  <c r="B20" i="4"/>
  <c r="G24" i="5"/>
  <c r="R24" i="5"/>
  <c r="F24" i="5"/>
  <c r="A170" i="4"/>
  <c r="A62" i="4"/>
  <c r="A134" i="4"/>
  <c r="A98" i="4"/>
  <c r="AB15" i="3"/>
  <c r="AL15" i="3"/>
  <c r="AC15" i="3"/>
  <c r="A119" i="4"/>
  <c r="A155" i="4"/>
  <c r="A11" i="4"/>
  <c r="A47" i="4"/>
  <c r="A83" i="4"/>
  <c r="AR30" i="5"/>
  <c r="AF30" i="5"/>
  <c r="H23" i="5"/>
  <c r="J23" i="5"/>
  <c r="K12" i="5"/>
  <c r="I12" i="5"/>
  <c r="M12" i="5" s="1"/>
  <c r="N12" i="5" s="1"/>
  <c r="A78" i="4"/>
  <c r="A150" i="4"/>
  <c r="A114" i="4"/>
  <c r="P64" i="3"/>
  <c r="G64" i="3"/>
  <c r="F64" i="3"/>
  <c r="Q55" i="3"/>
  <c r="K16" i="3"/>
  <c r="B11" i="4"/>
  <c r="S8" i="5"/>
  <c r="BA71" i="5"/>
  <c r="AM65" i="3"/>
  <c r="AW65" i="3"/>
  <c r="B32" i="4"/>
  <c r="J15" i="3"/>
  <c r="AB8" i="3"/>
  <c r="AE54" i="5"/>
  <c r="AC64" i="1"/>
  <c r="C32" i="4"/>
  <c r="G33" i="3"/>
  <c r="F33" i="3"/>
  <c r="S40" i="5"/>
  <c r="AE40" i="5"/>
  <c r="H48" i="1"/>
  <c r="I48" i="1" s="1"/>
  <c r="B54" i="4"/>
  <c r="AE53" i="5"/>
  <c r="I47" i="1"/>
  <c r="A28" i="4"/>
  <c r="P35" i="3"/>
  <c r="R54" i="5"/>
  <c r="A169" i="4"/>
  <c r="G46" i="3"/>
  <c r="AN71" i="5"/>
  <c r="BP62" i="5"/>
  <c r="AA71" i="5"/>
  <c r="BP68" i="5"/>
  <c r="BP67" i="5"/>
  <c r="X17" i="5"/>
  <c r="K30" i="5"/>
  <c r="L30" i="5" s="1"/>
  <c r="X21" i="5" l="1"/>
  <c r="AF8" i="3"/>
  <c r="AD8" i="3"/>
  <c r="R55" i="3"/>
  <c r="C66" i="4" s="1"/>
  <c r="D40" i="4"/>
  <c r="V9" i="3"/>
  <c r="BE29" i="5"/>
  <c r="K9" i="3"/>
  <c r="Y43" i="5"/>
  <c r="H8" i="3"/>
  <c r="D3" i="4" s="1"/>
  <c r="L35" i="5"/>
  <c r="C4" i="4"/>
  <c r="O88" i="1"/>
  <c r="O89" i="1" s="1"/>
  <c r="O90" i="1" s="1"/>
  <c r="S9" i="5"/>
  <c r="AE9" i="5"/>
  <c r="AL33" i="3"/>
  <c r="J9" i="3"/>
  <c r="L9" i="3" s="1"/>
  <c r="F4" i="4" s="1"/>
  <c r="D19" i="4"/>
  <c r="K34" i="3"/>
  <c r="AM8" i="3"/>
  <c r="J34" i="3"/>
  <c r="C19" i="4"/>
  <c r="AF23" i="5"/>
  <c r="AJ23" i="5" s="1"/>
  <c r="AL23" i="5" s="1"/>
  <c r="H21" i="5"/>
  <c r="K21" i="5" s="1"/>
  <c r="AO8" i="3"/>
  <c r="D111" i="4" s="1"/>
  <c r="U44" i="3"/>
  <c r="AW8" i="3"/>
  <c r="D48" i="4"/>
  <c r="I14" i="5"/>
  <c r="M14" i="5" s="1"/>
  <c r="N14" i="5" s="1"/>
  <c r="K27" i="3"/>
  <c r="V17" i="3"/>
  <c r="AY9" i="3"/>
  <c r="BB9" i="3" s="1"/>
  <c r="AN17" i="3"/>
  <c r="AM17" i="3"/>
  <c r="AC33" i="3"/>
  <c r="AD33" i="3" s="1"/>
  <c r="J14" i="5"/>
  <c r="L14" i="5" s="1"/>
  <c r="AB56" i="3"/>
  <c r="R15" i="3"/>
  <c r="U15" i="3" s="1"/>
  <c r="Q15" i="3"/>
  <c r="AQ43" i="3"/>
  <c r="H107" i="4"/>
  <c r="C35" i="4"/>
  <c r="H65" i="3"/>
  <c r="AH65" i="3"/>
  <c r="F107" i="4" s="1"/>
  <c r="V8" i="5"/>
  <c r="Z8" i="5" s="1"/>
  <c r="AA8" i="5" s="1"/>
  <c r="T23" i="5"/>
  <c r="U23" i="5" s="1"/>
  <c r="X23" i="5" s="1"/>
  <c r="J65" i="3"/>
  <c r="L43" i="5"/>
  <c r="C131" i="4"/>
  <c r="I11" i="5"/>
  <c r="M11" i="5" s="1"/>
  <c r="N11" i="5" s="1"/>
  <c r="S23" i="5"/>
  <c r="W23" i="5" s="1"/>
  <c r="AI23" i="5"/>
  <c r="AM23" i="5" s="1"/>
  <c r="AN23" i="5" s="1"/>
  <c r="AR23" i="5"/>
  <c r="S65" i="3"/>
  <c r="C71" i="4"/>
  <c r="D84" i="4"/>
  <c r="L12" i="5"/>
  <c r="K9" i="5"/>
  <c r="L9" i="5" s="1"/>
  <c r="AS29" i="5"/>
  <c r="AT15" i="5"/>
  <c r="AU15" i="5" s="1"/>
  <c r="AX15" i="5" s="1"/>
  <c r="AN11" i="3"/>
  <c r="AQ11" i="3" s="1"/>
  <c r="K38" i="5"/>
  <c r="S14" i="5"/>
  <c r="H10" i="5"/>
  <c r="I10" i="5" s="1"/>
  <c r="M10" i="5" s="1"/>
  <c r="N10" i="5" s="1"/>
  <c r="J38" i="5"/>
  <c r="C112" i="4"/>
  <c r="AO9" i="3"/>
  <c r="H17" i="5"/>
  <c r="J17" i="5"/>
  <c r="J55" i="3"/>
  <c r="AW43" i="3"/>
  <c r="AY43" i="3" s="1"/>
  <c r="AM43" i="3"/>
  <c r="AK15" i="5"/>
  <c r="AE8" i="5"/>
  <c r="AE10" i="5"/>
  <c r="S10" i="5"/>
  <c r="T10" i="5"/>
  <c r="I27" i="3"/>
  <c r="E17" i="4" s="1"/>
  <c r="G17" i="4" s="1"/>
  <c r="H17" i="4" s="1"/>
  <c r="J26" i="3"/>
  <c r="C39" i="4"/>
  <c r="S8" i="3"/>
  <c r="AU29" i="5"/>
  <c r="AX29" i="5" s="1"/>
  <c r="AW29" i="5"/>
  <c r="AQ34" i="1"/>
  <c r="AG29" i="5"/>
  <c r="AH29" i="5" s="1"/>
  <c r="AK29" i="5" s="1"/>
  <c r="AF29" i="5"/>
  <c r="AQ55" i="1"/>
  <c r="T48" i="5"/>
  <c r="S48" i="5"/>
  <c r="AC56" i="3"/>
  <c r="AE48" i="5"/>
  <c r="AN56" i="3"/>
  <c r="AO56" i="3" s="1"/>
  <c r="K57" i="3"/>
  <c r="J57" i="3"/>
  <c r="I57" i="3"/>
  <c r="E32" i="4" s="1"/>
  <c r="G32" i="4" s="1"/>
  <c r="H32" i="4" s="1"/>
  <c r="D60" i="4"/>
  <c r="V44" i="3"/>
  <c r="W44" i="3" s="1"/>
  <c r="F60" i="4" s="1"/>
  <c r="H60" i="4"/>
  <c r="C60" i="4"/>
  <c r="AE43" i="3"/>
  <c r="E95" i="4" s="1"/>
  <c r="G95" i="4" s="1"/>
  <c r="H95" i="4" s="1"/>
  <c r="AE38" i="5"/>
  <c r="AR38" i="5" s="1"/>
  <c r="S48" i="3"/>
  <c r="T48" i="3" s="1"/>
  <c r="E64" i="4" s="1"/>
  <c r="G64" i="4" s="1"/>
  <c r="H64" i="4" s="1"/>
  <c r="L41" i="5"/>
  <c r="C95" i="4"/>
  <c r="C59" i="4"/>
  <c r="I36" i="5"/>
  <c r="M36" i="5" s="1"/>
  <c r="N36" i="5" s="1"/>
  <c r="AF43" i="3"/>
  <c r="AH43" i="3" s="1"/>
  <c r="F95" i="4" s="1"/>
  <c r="S38" i="5"/>
  <c r="S43" i="3"/>
  <c r="D59" i="4" s="1"/>
  <c r="Y40" i="5"/>
  <c r="H43" i="3"/>
  <c r="C23" i="4"/>
  <c r="J43" i="3"/>
  <c r="Y8" i="5"/>
  <c r="H55" i="5"/>
  <c r="J55" i="5"/>
  <c r="AB27" i="3"/>
  <c r="AF27" i="3" s="1"/>
  <c r="L27" i="3"/>
  <c r="F17" i="4" s="1"/>
  <c r="H26" i="3"/>
  <c r="U9" i="5"/>
  <c r="X9" i="5" s="1"/>
  <c r="W9" i="5"/>
  <c r="AG17" i="3"/>
  <c r="AH17" i="3" s="1"/>
  <c r="F84" i="4" s="1"/>
  <c r="AN16" i="3"/>
  <c r="AW16" i="3"/>
  <c r="AM16" i="3"/>
  <c r="T12" i="5"/>
  <c r="U12" i="5" s="1"/>
  <c r="X12" i="5" s="1"/>
  <c r="K17" i="3"/>
  <c r="L17" i="3" s="1"/>
  <c r="F12" i="4" s="1"/>
  <c r="AE9" i="3"/>
  <c r="E76" i="4" s="1"/>
  <c r="G76" i="4" s="1"/>
  <c r="H76" i="4" s="1"/>
  <c r="H48" i="4"/>
  <c r="T9" i="3"/>
  <c r="E40" i="4" s="1"/>
  <c r="G40" i="4" s="1"/>
  <c r="H40" i="4" s="1"/>
  <c r="AY17" i="3"/>
  <c r="C156" i="4" s="1"/>
  <c r="AK17" i="1"/>
  <c r="AL17" i="1" s="1"/>
  <c r="AM17" i="1" s="1"/>
  <c r="AN17" i="1" s="1"/>
  <c r="AO17" i="1" s="1"/>
  <c r="S16" i="3"/>
  <c r="C47" i="4"/>
  <c r="AQ8" i="1"/>
  <c r="AE12" i="5"/>
  <c r="AR12" i="5" s="1"/>
  <c r="T41" i="3"/>
  <c r="E57" i="4" s="1"/>
  <c r="G57" i="4" s="1"/>
  <c r="H57" i="4" s="1"/>
  <c r="V40" i="5"/>
  <c r="Z40" i="5" s="1"/>
  <c r="AA40" i="5" s="1"/>
  <c r="K29" i="5"/>
  <c r="L29" i="5" s="1"/>
  <c r="AL15" i="5"/>
  <c r="X14" i="5"/>
  <c r="Y14" i="5" s="1"/>
  <c r="U48" i="3"/>
  <c r="AE16" i="3"/>
  <c r="E83" i="4" s="1"/>
  <c r="G83" i="4" s="1"/>
  <c r="H83" i="4" s="1"/>
  <c r="D83" i="4"/>
  <c r="AK44" i="1"/>
  <c r="AL44" i="1" s="1"/>
  <c r="AM44" i="1" s="1"/>
  <c r="AD44" i="1"/>
  <c r="AE44" i="1" s="1"/>
  <c r="AF44" i="1" s="1"/>
  <c r="AG44" i="1" s="1"/>
  <c r="AA24" i="3"/>
  <c r="Q24" i="3"/>
  <c r="U24" i="3" s="1"/>
  <c r="R24" i="3"/>
  <c r="C67" i="4"/>
  <c r="S56" i="3"/>
  <c r="T56" i="3" s="1"/>
  <c r="E67" i="4" s="1"/>
  <c r="G67" i="4" s="1"/>
  <c r="H67" i="4" s="1"/>
  <c r="R10" i="3"/>
  <c r="Q10" i="3"/>
  <c r="AA10" i="3"/>
  <c r="U41" i="3"/>
  <c r="W41" i="3" s="1"/>
  <c r="F57" i="4" s="1"/>
  <c r="I43" i="5"/>
  <c r="M43" i="5" s="1"/>
  <c r="N43" i="5" s="1"/>
  <c r="AI30" i="5"/>
  <c r="AM30" i="5" s="1"/>
  <c r="AN30" i="5" s="1"/>
  <c r="X38" i="5"/>
  <c r="Y38" i="5" s="1"/>
  <c r="AF33" i="3"/>
  <c r="AA48" i="3"/>
  <c r="AL48" i="3" s="1"/>
  <c r="AW48" i="3" s="1"/>
  <c r="AE47" i="5"/>
  <c r="S47" i="5"/>
  <c r="T47" i="5"/>
  <c r="I34" i="3"/>
  <c r="E19" i="4" s="1"/>
  <c r="G19" i="4" s="1"/>
  <c r="H19" i="4" s="1"/>
  <c r="C14" i="4"/>
  <c r="H24" i="3"/>
  <c r="I24" i="3" s="1"/>
  <c r="E14" i="4" s="1"/>
  <c r="G14" i="4" s="1"/>
  <c r="H14" i="4" s="1"/>
  <c r="AR9" i="5"/>
  <c r="AF9" i="5"/>
  <c r="AG9" i="5"/>
  <c r="S30" i="5"/>
  <c r="Q48" i="3"/>
  <c r="S15" i="3"/>
  <c r="C46" i="4"/>
  <c r="AA26" i="3"/>
  <c r="R26" i="3"/>
  <c r="Q26" i="3"/>
  <c r="U26" i="3" s="1"/>
  <c r="AC43" i="1"/>
  <c r="I41" i="5"/>
  <c r="M41" i="5" s="1"/>
  <c r="N41" i="5" s="1"/>
  <c r="L49" i="3"/>
  <c r="F29" i="4" s="1"/>
  <c r="V42" i="5"/>
  <c r="Z42" i="5" s="1"/>
  <c r="AA42" i="5" s="1"/>
  <c r="AN55" i="1"/>
  <c r="AO55" i="1" s="1"/>
  <c r="AQ26" i="1"/>
  <c r="W17" i="3"/>
  <c r="F48" i="4" s="1"/>
  <c r="L48" i="5"/>
  <c r="I17" i="3"/>
  <c r="E12" i="4" s="1"/>
  <c r="G12" i="4" s="1"/>
  <c r="H12" i="4" s="1"/>
  <c r="C5" i="4"/>
  <c r="H10" i="3"/>
  <c r="S11" i="3"/>
  <c r="C42" i="4"/>
  <c r="AC11" i="1"/>
  <c r="C57" i="4"/>
  <c r="BF85" i="3"/>
  <c r="AD23" i="1"/>
  <c r="AE23" i="1" s="1"/>
  <c r="AQ23" i="1" s="1"/>
  <c r="T16" i="5"/>
  <c r="W16" i="5" s="1"/>
  <c r="T30" i="5"/>
  <c r="U30" i="5" s="1"/>
  <c r="AJ30" i="5"/>
  <c r="AL30" i="5" s="1"/>
  <c r="AA34" i="3"/>
  <c r="R34" i="3"/>
  <c r="Q34" i="3"/>
  <c r="U56" i="3"/>
  <c r="AC25" i="1"/>
  <c r="H11" i="3"/>
  <c r="C6" i="4"/>
  <c r="U36" i="5"/>
  <c r="W36" i="5"/>
  <c r="AG43" i="5"/>
  <c r="AF43" i="5"/>
  <c r="AR43" i="5"/>
  <c r="AD63" i="1"/>
  <c r="AE63" i="1" s="1"/>
  <c r="AK63" i="1"/>
  <c r="AL63" i="1" s="1"/>
  <c r="AM63" i="1" s="1"/>
  <c r="D20" i="4"/>
  <c r="K35" i="3"/>
  <c r="C22" i="4"/>
  <c r="J42" i="3"/>
  <c r="H42" i="3"/>
  <c r="I42" i="3" s="1"/>
  <c r="E22" i="4" s="1"/>
  <c r="G22" i="4" s="1"/>
  <c r="H22" i="4" s="1"/>
  <c r="AA57" i="3"/>
  <c r="R57" i="3"/>
  <c r="Q57" i="3"/>
  <c r="C90" i="4"/>
  <c r="L48" i="3"/>
  <c r="F28" i="4" s="1"/>
  <c r="C13" i="4"/>
  <c r="J23" i="3"/>
  <c r="H23" i="3"/>
  <c r="AK47" i="1"/>
  <c r="AL47" i="1" s="1"/>
  <c r="AM47" i="1" s="1"/>
  <c r="AN47" i="1" s="1"/>
  <c r="AO47" i="1" s="1"/>
  <c r="AD47" i="1"/>
  <c r="AE47" i="1" s="1"/>
  <c r="AF47" i="1" s="1"/>
  <c r="AG47" i="1" s="1"/>
  <c r="L36" i="5"/>
  <c r="S33" i="3"/>
  <c r="V33" i="3" s="1"/>
  <c r="W33" i="3" s="1"/>
  <c r="F54" i="4" s="1"/>
  <c r="I49" i="3"/>
  <c r="E29" i="4" s="1"/>
  <c r="G29" i="4" s="1"/>
  <c r="H29" i="4" s="1"/>
  <c r="D29" i="4"/>
  <c r="C54" i="4"/>
  <c r="I48" i="5"/>
  <c r="M48" i="5" s="1"/>
  <c r="N48" i="5" s="1"/>
  <c r="J35" i="3"/>
  <c r="L22" i="5"/>
  <c r="R42" i="3"/>
  <c r="Q42" i="3"/>
  <c r="AA42" i="3"/>
  <c r="AL27" i="3"/>
  <c r="AW27" i="3" s="1"/>
  <c r="C20" i="4"/>
  <c r="Q49" i="3"/>
  <c r="R49" i="3"/>
  <c r="AA49" i="3"/>
  <c r="AT36" i="5"/>
  <c r="BE36" i="5"/>
  <c r="AS36" i="5"/>
  <c r="L34" i="3"/>
  <c r="F19" i="4" s="1"/>
  <c r="T35" i="5"/>
  <c r="AE35" i="5"/>
  <c r="S35" i="5"/>
  <c r="AH36" i="5"/>
  <c r="AJ36" i="5"/>
  <c r="AD13" i="1"/>
  <c r="AE13" i="1" s="1"/>
  <c r="AK13" i="1"/>
  <c r="AL13" i="1" s="1"/>
  <c r="AM13" i="1" s="1"/>
  <c r="S16" i="5"/>
  <c r="AK9" i="1"/>
  <c r="AL9" i="1" s="1"/>
  <c r="AM9" i="1" s="1"/>
  <c r="AN9" i="1" s="1"/>
  <c r="AO9" i="1" s="1"/>
  <c r="AD9" i="1"/>
  <c r="AE9" i="1" s="1"/>
  <c r="H11" i="4"/>
  <c r="BF15" i="5"/>
  <c r="BG15" i="5"/>
  <c r="L16" i="3"/>
  <c r="F11" i="4" s="1"/>
  <c r="AH9" i="3"/>
  <c r="F76" i="4" s="1"/>
  <c r="Y17" i="5"/>
  <c r="H40" i="5"/>
  <c r="J40" i="5"/>
  <c r="AK24" i="1"/>
  <c r="AL24" i="1" s="1"/>
  <c r="AM24" i="1" s="1"/>
  <c r="AN24" i="1" s="1"/>
  <c r="AO24" i="1" s="1"/>
  <c r="AD24" i="1"/>
  <c r="AE24" i="1" s="1"/>
  <c r="AF24" i="1" s="1"/>
  <c r="AG24" i="1" s="1"/>
  <c r="W9" i="3"/>
  <c r="F40" i="4" s="1"/>
  <c r="T22" i="5"/>
  <c r="S22" i="5"/>
  <c r="W22" i="5" s="1"/>
  <c r="AE22" i="5"/>
  <c r="AR42" i="5"/>
  <c r="AF42" i="5"/>
  <c r="AG42" i="5"/>
  <c r="Y21" i="5"/>
  <c r="AG44" i="3"/>
  <c r="AH44" i="3" s="1"/>
  <c r="F96" i="4" s="1"/>
  <c r="D96" i="4"/>
  <c r="AP43" i="3"/>
  <c r="E131" i="4" s="1"/>
  <c r="G131" i="4" s="1"/>
  <c r="H131" i="4" s="1"/>
  <c r="D131" i="4"/>
  <c r="S23" i="3"/>
  <c r="C49" i="4"/>
  <c r="AR43" i="3"/>
  <c r="D76" i="4"/>
  <c r="H28" i="4"/>
  <c r="H42" i="5"/>
  <c r="K42" i="5" s="1"/>
  <c r="L42" i="5" s="1"/>
  <c r="Y42" i="5"/>
  <c r="AQ14" i="1"/>
  <c r="H44" i="3"/>
  <c r="I44" i="3" s="1"/>
  <c r="E24" i="4" s="1"/>
  <c r="G24" i="4" s="1"/>
  <c r="H24" i="4" s="1"/>
  <c r="C24" i="4"/>
  <c r="AM48" i="3"/>
  <c r="AS65" i="3"/>
  <c r="F143" i="4" s="1"/>
  <c r="L54" i="5"/>
  <c r="J41" i="3"/>
  <c r="H41" i="3"/>
  <c r="C21" i="4"/>
  <c r="AC23" i="3"/>
  <c r="AL23" i="3"/>
  <c r="AB23" i="3"/>
  <c r="AF23" i="3" s="1"/>
  <c r="AD45" i="1"/>
  <c r="AE45" i="1" s="1"/>
  <c r="AK45" i="1"/>
  <c r="AL45" i="1" s="1"/>
  <c r="AM45" i="1" s="1"/>
  <c r="AN45" i="1" s="1"/>
  <c r="AO45" i="1" s="1"/>
  <c r="AD35" i="1"/>
  <c r="AE35" i="1" s="1"/>
  <c r="AE36" i="1" s="1"/>
  <c r="AE37" i="1" s="1"/>
  <c r="AE38" i="1" s="1"/>
  <c r="AK35" i="1"/>
  <c r="AL35" i="1" s="1"/>
  <c r="AM35" i="1" s="1"/>
  <c r="K12" i="3"/>
  <c r="L12" i="3" s="1"/>
  <c r="F7" i="4" s="1"/>
  <c r="D7" i="4"/>
  <c r="P63" i="3"/>
  <c r="F63" i="3"/>
  <c r="G63" i="3"/>
  <c r="F53" i="5"/>
  <c r="G53" i="5"/>
  <c r="G66" i="1"/>
  <c r="G67" i="1" s="1"/>
  <c r="G68" i="1" s="1"/>
  <c r="T53" i="5"/>
  <c r="S53" i="5"/>
  <c r="AR55" i="5"/>
  <c r="AD65" i="1"/>
  <c r="AE65" i="1" s="1"/>
  <c r="AF65" i="1" s="1"/>
  <c r="AG65" i="1" s="1"/>
  <c r="AK65" i="1"/>
  <c r="AF55" i="5"/>
  <c r="AG55" i="5"/>
  <c r="S55" i="5"/>
  <c r="T55" i="5"/>
  <c r="K55" i="3"/>
  <c r="D30" i="4"/>
  <c r="AK56" i="1"/>
  <c r="AL56" i="1" s="1"/>
  <c r="AM56" i="1" s="1"/>
  <c r="AD56" i="1"/>
  <c r="AE56" i="1" s="1"/>
  <c r="AQ33" i="1"/>
  <c r="C139" i="4"/>
  <c r="C15" i="4"/>
  <c r="H25" i="3"/>
  <c r="AC42" i="1"/>
  <c r="BG29" i="5"/>
  <c r="BF29" i="5"/>
  <c r="I55" i="3"/>
  <c r="E30" i="4" s="1"/>
  <c r="G30" i="4" s="1"/>
  <c r="H30" i="4" s="1"/>
  <c r="AX56" i="3"/>
  <c r="AY56" i="3"/>
  <c r="AA47" i="3"/>
  <c r="R47" i="3"/>
  <c r="Q47" i="3"/>
  <c r="Q25" i="3"/>
  <c r="U25" i="3" s="1"/>
  <c r="AA25" i="3"/>
  <c r="R25" i="3"/>
  <c r="L47" i="5"/>
  <c r="AE25" i="5"/>
  <c r="T25" i="5"/>
  <c r="S25" i="5"/>
  <c r="W25" i="5" s="1"/>
  <c r="AY29" i="5"/>
  <c r="AF21" i="5"/>
  <c r="AJ21" i="5" s="1"/>
  <c r="AG21" i="5"/>
  <c r="AR21" i="5"/>
  <c r="D57" i="4"/>
  <c r="L21" i="5"/>
  <c r="AQ44" i="3"/>
  <c r="C132" i="4"/>
  <c r="AO44" i="3"/>
  <c r="C61" i="4"/>
  <c r="S45" i="3"/>
  <c r="T45" i="3" s="1"/>
  <c r="E61" i="4" s="1"/>
  <c r="G61" i="4" s="1"/>
  <c r="H61" i="4" s="1"/>
  <c r="C25" i="4"/>
  <c r="H45" i="3"/>
  <c r="I45" i="3" s="1"/>
  <c r="E25" i="4" s="1"/>
  <c r="G25" i="4" s="1"/>
  <c r="H25" i="4" s="1"/>
  <c r="H47" i="3"/>
  <c r="I47" i="3" s="1"/>
  <c r="E27" i="4" s="1"/>
  <c r="G27" i="4" s="1"/>
  <c r="H27" i="4" s="1"/>
  <c r="S49" i="5"/>
  <c r="AE49" i="5"/>
  <c r="T49" i="5"/>
  <c r="AX44" i="3"/>
  <c r="AY44" i="3"/>
  <c r="AD27" i="1"/>
  <c r="AE27" i="1" s="1"/>
  <c r="AK27" i="1"/>
  <c r="AL27" i="1" s="1"/>
  <c r="AM27" i="1" s="1"/>
  <c r="AN27" i="1" s="1"/>
  <c r="AO27" i="1" s="1"/>
  <c r="C53" i="4"/>
  <c r="S27" i="3"/>
  <c r="T27" i="3" s="1"/>
  <c r="E53" i="4" s="1"/>
  <c r="G53" i="4" s="1"/>
  <c r="H53" i="4" s="1"/>
  <c r="C27" i="4"/>
  <c r="I35" i="3"/>
  <c r="E20" i="4" s="1"/>
  <c r="G20" i="4" s="1"/>
  <c r="H20" i="4" s="1"/>
  <c r="AC41" i="3"/>
  <c r="AL41" i="3"/>
  <c r="AB41" i="3"/>
  <c r="AB45" i="3"/>
  <c r="AL45" i="3"/>
  <c r="AC45" i="3"/>
  <c r="J25" i="5"/>
  <c r="H25" i="5"/>
  <c r="K25" i="5" s="1"/>
  <c r="I21" i="5"/>
  <c r="M21" i="5" s="1"/>
  <c r="N21" i="5" s="1"/>
  <c r="T37" i="5"/>
  <c r="S37" i="5"/>
  <c r="AE37" i="5"/>
  <c r="AN33" i="3"/>
  <c r="AW33" i="3"/>
  <c r="AM33" i="3"/>
  <c r="H49" i="5"/>
  <c r="K49" i="5" s="1"/>
  <c r="L49" i="5" s="1"/>
  <c r="AC16" i="1"/>
  <c r="AH16" i="3"/>
  <c r="F83" i="4" s="1"/>
  <c r="I14" i="3"/>
  <c r="E9" i="4" s="1"/>
  <c r="G9" i="4" s="1"/>
  <c r="H9" i="4" s="1"/>
  <c r="D9" i="4"/>
  <c r="K14" i="3"/>
  <c r="L14" i="3" s="1"/>
  <c r="F9" i="4" s="1"/>
  <c r="H16" i="5"/>
  <c r="K16" i="5" s="1"/>
  <c r="J16" i="5"/>
  <c r="AR17" i="5"/>
  <c r="AG17" i="5"/>
  <c r="AF17" i="5"/>
  <c r="AQ17" i="1"/>
  <c r="AF16" i="5"/>
  <c r="AG16" i="5"/>
  <c r="AR16" i="5"/>
  <c r="Q14" i="3"/>
  <c r="AA14" i="3"/>
  <c r="R14" i="3"/>
  <c r="L15" i="5"/>
  <c r="AN14" i="1"/>
  <c r="AO14" i="1" s="1"/>
  <c r="U11" i="5"/>
  <c r="X11" i="5" s="1"/>
  <c r="W11" i="5"/>
  <c r="AR11" i="5"/>
  <c r="AG11" i="5"/>
  <c r="AF11" i="5"/>
  <c r="I8" i="3"/>
  <c r="E3" i="4" s="1"/>
  <c r="G3" i="4" s="1"/>
  <c r="H3" i="4" s="1"/>
  <c r="AK12" i="1"/>
  <c r="AL12" i="1" s="1"/>
  <c r="AM12" i="1" s="1"/>
  <c r="AN12" i="1" s="1"/>
  <c r="AO12" i="1" s="1"/>
  <c r="AD12" i="1"/>
  <c r="AE12" i="1" s="1"/>
  <c r="C114" i="4"/>
  <c r="C78" i="4"/>
  <c r="AD11" i="3"/>
  <c r="K8" i="3"/>
  <c r="L8" i="3" s="1"/>
  <c r="F3" i="4" s="1"/>
  <c r="AY11" i="3"/>
  <c r="AX11" i="3"/>
  <c r="C8" i="4"/>
  <c r="J13" i="3"/>
  <c r="H13" i="3"/>
  <c r="AA13" i="3"/>
  <c r="Q13" i="3"/>
  <c r="R13" i="3"/>
  <c r="H13" i="5"/>
  <c r="K13" i="5" s="1"/>
  <c r="J13" i="5"/>
  <c r="J33" i="3"/>
  <c r="H33" i="3"/>
  <c r="I33" i="3" s="1"/>
  <c r="E18" i="4" s="1"/>
  <c r="G18" i="4" s="1"/>
  <c r="H18" i="4" s="1"/>
  <c r="C18" i="4"/>
  <c r="AQ46" i="1"/>
  <c r="AR40" i="5"/>
  <c r="AG40" i="5"/>
  <c r="AF40" i="5"/>
  <c r="AD64" i="1"/>
  <c r="AE64" i="1" s="1"/>
  <c r="AK64" i="1"/>
  <c r="AR54" i="5"/>
  <c r="L15" i="3"/>
  <c r="F10" i="4" s="1"/>
  <c r="AX65" i="3"/>
  <c r="AY65" i="3"/>
  <c r="AL55" i="3"/>
  <c r="AB55" i="3"/>
  <c r="AC55" i="3"/>
  <c r="AJ14" i="5"/>
  <c r="AH14" i="5"/>
  <c r="W39" i="5"/>
  <c r="U39" i="5"/>
  <c r="AN23" i="1"/>
  <c r="AO23" i="1" s="1"/>
  <c r="AH41" i="5"/>
  <c r="AK41" i="5" s="1"/>
  <c r="AJ41" i="5"/>
  <c r="AR8" i="3"/>
  <c r="AS8" i="3" s="1"/>
  <c r="F111" i="4" s="1"/>
  <c r="H31" i="5"/>
  <c r="J31" i="5"/>
  <c r="G59" i="1"/>
  <c r="AF53" i="5"/>
  <c r="AG53" i="5"/>
  <c r="AD49" i="1"/>
  <c r="AE49" i="1" s="1"/>
  <c r="AF49" i="1" s="1"/>
  <c r="AG49" i="1" s="1"/>
  <c r="AK49" i="1"/>
  <c r="AL49" i="1" s="1"/>
  <c r="AM49" i="1" s="1"/>
  <c r="AN49" i="1" s="1"/>
  <c r="AO49" i="1" s="1"/>
  <c r="H46" i="3"/>
  <c r="I46" i="3" s="1"/>
  <c r="E26" i="4" s="1"/>
  <c r="G26" i="4" s="1"/>
  <c r="H26" i="4" s="1"/>
  <c r="J46" i="3"/>
  <c r="C26" i="4"/>
  <c r="AR53" i="5"/>
  <c r="AF54" i="5"/>
  <c r="AG54" i="5"/>
  <c r="AD41" i="1"/>
  <c r="AE41" i="1" s="1"/>
  <c r="AK41" i="1"/>
  <c r="AL41" i="1" s="1"/>
  <c r="AM41" i="1" s="1"/>
  <c r="U41" i="5"/>
  <c r="X41" i="5" s="1"/>
  <c r="W41" i="5"/>
  <c r="AD27" i="3"/>
  <c r="AE27" i="3" s="1"/>
  <c r="E89" i="4" s="1"/>
  <c r="G89" i="4" s="1"/>
  <c r="H89" i="4" s="1"/>
  <c r="C89" i="4"/>
  <c r="AP8" i="3"/>
  <c r="E111" i="4" s="1"/>
  <c r="G111" i="4" s="1"/>
  <c r="H111" i="4" s="1"/>
  <c r="H64" i="3"/>
  <c r="I64" i="3" s="1"/>
  <c r="E34" i="4" s="1"/>
  <c r="G34" i="4" s="1"/>
  <c r="H34" i="4" s="1"/>
  <c r="C34" i="4"/>
  <c r="J64" i="3"/>
  <c r="AW14" i="5"/>
  <c r="AU14" i="5"/>
  <c r="AX14" i="5" s="1"/>
  <c r="T54" i="5"/>
  <c r="S54" i="5"/>
  <c r="AG8" i="3"/>
  <c r="AH8" i="3" s="1"/>
  <c r="F75" i="4" s="1"/>
  <c r="D75" i="4"/>
  <c r="AE8" i="3"/>
  <c r="E75" i="4" s="1"/>
  <c r="G75" i="4" s="1"/>
  <c r="H75" i="4" s="1"/>
  <c r="AA64" i="3"/>
  <c r="Q64" i="3"/>
  <c r="R64" i="3"/>
  <c r="BE30" i="5"/>
  <c r="AS30" i="5"/>
  <c r="AT30" i="5"/>
  <c r="AD56" i="3"/>
  <c r="AE56" i="3" s="1"/>
  <c r="E103" i="4" s="1"/>
  <c r="G103" i="4" s="1"/>
  <c r="H103" i="4" s="1"/>
  <c r="AF56" i="3"/>
  <c r="C103" i="4"/>
  <c r="H24" i="5"/>
  <c r="K24" i="5" s="1"/>
  <c r="J24" i="5"/>
  <c r="BF14" i="5"/>
  <c r="BG14" i="5"/>
  <c r="G51" i="1"/>
  <c r="G52" i="1" s="1"/>
  <c r="BE41" i="5"/>
  <c r="AT41" i="5"/>
  <c r="AS41" i="5"/>
  <c r="Q35" i="3"/>
  <c r="R35" i="3"/>
  <c r="AA35" i="3"/>
  <c r="AF12" i="5"/>
  <c r="AN10" i="1"/>
  <c r="AO10" i="1" s="1"/>
  <c r="U55" i="3"/>
  <c r="S55" i="3"/>
  <c r="T55" i="3" s="1"/>
  <c r="E66" i="4" s="1"/>
  <c r="G66" i="4" s="1"/>
  <c r="H66" i="4" s="1"/>
  <c r="G37" i="1"/>
  <c r="G38" i="1" s="1"/>
  <c r="AC48" i="1"/>
  <c r="U16" i="5"/>
  <c r="AF15" i="3"/>
  <c r="C82" i="4"/>
  <c r="AD15" i="3"/>
  <c r="AE15" i="3" s="1"/>
  <c r="E82" i="4" s="1"/>
  <c r="G82" i="4" s="1"/>
  <c r="H82" i="4" s="1"/>
  <c r="AB12" i="3"/>
  <c r="AL12" i="3"/>
  <c r="AC12" i="3"/>
  <c r="S46" i="3"/>
  <c r="C62" i="4"/>
  <c r="U46" i="3"/>
  <c r="U13" i="5"/>
  <c r="W13" i="5"/>
  <c r="AF39" i="5"/>
  <c r="AG39" i="5"/>
  <c r="AR39" i="5"/>
  <c r="BP71" i="5"/>
  <c r="S24" i="5"/>
  <c r="W24" i="5" s="1"/>
  <c r="AE24" i="5"/>
  <c r="T24" i="5"/>
  <c r="AD15" i="1"/>
  <c r="AE15" i="1" s="1"/>
  <c r="AK15" i="1"/>
  <c r="AL15" i="1" s="1"/>
  <c r="AM15" i="1" s="1"/>
  <c r="AN15" i="1" s="1"/>
  <c r="AO15" i="1" s="1"/>
  <c r="AX8" i="3"/>
  <c r="AY8" i="3"/>
  <c r="K23" i="5"/>
  <c r="L23" i="5" s="1"/>
  <c r="I23" i="5"/>
  <c r="M23" i="5" s="1"/>
  <c r="N23" i="5" s="1"/>
  <c r="AM15" i="3"/>
  <c r="AW15" i="3"/>
  <c r="AN15" i="3"/>
  <c r="C43" i="4"/>
  <c r="S12" i="3"/>
  <c r="U12" i="3"/>
  <c r="AB46" i="3"/>
  <c r="AC46" i="3"/>
  <c r="AL46" i="3"/>
  <c r="AG13" i="5"/>
  <c r="AR13" i="5"/>
  <c r="AF13" i="5"/>
  <c r="AE33" i="3"/>
  <c r="E90" i="4" s="1"/>
  <c r="G90" i="4" s="1"/>
  <c r="H90" i="4" s="1"/>
  <c r="D90" i="4"/>
  <c r="AG33" i="3"/>
  <c r="AE31" i="5"/>
  <c r="T31" i="5"/>
  <c r="S31" i="5"/>
  <c r="AQ10" i="1"/>
  <c r="BF9" i="3" l="1"/>
  <c r="AZ9" i="3"/>
  <c r="W30" i="5"/>
  <c r="AV15" i="5"/>
  <c r="AZ15" i="5" s="1"/>
  <c r="BA15" i="5" s="1"/>
  <c r="Y23" i="5"/>
  <c r="Y9" i="5"/>
  <c r="AW15" i="5"/>
  <c r="AY15" i="5" s="1"/>
  <c r="J58" i="3"/>
  <c r="J59" i="3" s="1"/>
  <c r="C120" i="4"/>
  <c r="AQ17" i="3"/>
  <c r="L35" i="3"/>
  <c r="F20" i="4" s="1"/>
  <c r="T33" i="3"/>
  <c r="E54" i="4" s="1"/>
  <c r="G54" i="4" s="1"/>
  <c r="H54" i="4" s="1"/>
  <c r="AS43" i="3"/>
  <c r="F131" i="4" s="1"/>
  <c r="C148" i="4"/>
  <c r="AO17" i="3"/>
  <c r="W12" i="5"/>
  <c r="Y12" i="5" s="1"/>
  <c r="K10" i="5"/>
  <c r="L10" i="5" s="1"/>
  <c r="L57" i="3"/>
  <c r="F32" i="4" s="1"/>
  <c r="T65" i="3"/>
  <c r="E71" i="4" s="1"/>
  <c r="G71" i="4" s="1"/>
  <c r="H71" i="4" s="1"/>
  <c r="V65" i="3"/>
  <c r="W65" i="3" s="1"/>
  <c r="F71" i="4" s="1"/>
  <c r="D71" i="4"/>
  <c r="BE23" i="5"/>
  <c r="AS23" i="5"/>
  <c r="AW23" i="5" s="1"/>
  <c r="AT23" i="5"/>
  <c r="AQ44" i="1"/>
  <c r="BB17" i="3"/>
  <c r="L55" i="3"/>
  <c r="F30" i="4" s="1"/>
  <c r="V48" i="3"/>
  <c r="V9" i="5"/>
  <c r="Z9" i="5" s="1"/>
  <c r="AA9" i="5" s="1"/>
  <c r="AX43" i="3"/>
  <c r="I65" i="3"/>
  <c r="E35" i="4" s="1"/>
  <c r="G35" i="4" s="1"/>
  <c r="H35" i="4" s="1"/>
  <c r="D35" i="4"/>
  <c r="K65" i="3"/>
  <c r="L65" i="3" s="1"/>
  <c r="F35" i="4" s="1"/>
  <c r="AF23" i="1"/>
  <c r="AG23" i="1" s="1"/>
  <c r="AJ29" i="5"/>
  <c r="AL29" i="5" s="1"/>
  <c r="D54" i="4"/>
  <c r="T43" i="3"/>
  <c r="E59" i="4" s="1"/>
  <c r="G59" i="4" s="1"/>
  <c r="H59" i="4" s="1"/>
  <c r="L38" i="5"/>
  <c r="D27" i="4"/>
  <c r="AO11" i="3"/>
  <c r="D114" i="4" s="1"/>
  <c r="AG38" i="5"/>
  <c r="AV29" i="5"/>
  <c r="AZ29" i="5" s="1"/>
  <c r="BA29" i="5" s="1"/>
  <c r="AG10" i="5"/>
  <c r="AF10" i="5"/>
  <c r="AR10" i="5"/>
  <c r="K17" i="5"/>
  <c r="L17" i="5" s="1"/>
  <c r="I17" i="5"/>
  <c r="M17" i="5" s="1"/>
  <c r="N17" i="5" s="1"/>
  <c r="AR8" i="5"/>
  <c r="AG8" i="5"/>
  <c r="AF8" i="5"/>
  <c r="AP9" i="3"/>
  <c r="E112" i="4" s="1"/>
  <c r="G112" i="4" s="1"/>
  <c r="H112" i="4" s="1"/>
  <c r="AR9" i="3"/>
  <c r="AS9" i="3" s="1"/>
  <c r="F112" i="4" s="1"/>
  <c r="D112" i="4"/>
  <c r="AH33" i="3"/>
  <c r="F90" i="4" s="1"/>
  <c r="V23" i="5"/>
  <c r="Z23" i="5" s="1"/>
  <c r="AA23" i="5" s="1"/>
  <c r="K47" i="3"/>
  <c r="L47" i="3" s="1"/>
  <c r="F27" i="4" s="1"/>
  <c r="J28" i="3"/>
  <c r="J29" i="3" s="1"/>
  <c r="J30" i="3" s="1"/>
  <c r="U10" i="5"/>
  <c r="W10" i="5"/>
  <c r="D39" i="4"/>
  <c r="V8" i="3"/>
  <c r="W8" i="3" s="1"/>
  <c r="F39" i="4" s="1"/>
  <c r="T8" i="3"/>
  <c r="E39" i="4" s="1"/>
  <c r="G39" i="4" s="1"/>
  <c r="H39" i="4" s="1"/>
  <c r="W48" i="5"/>
  <c r="U48" i="5"/>
  <c r="X48" i="5" s="1"/>
  <c r="AQ56" i="3"/>
  <c r="AR48" i="5"/>
  <c r="AG48" i="5"/>
  <c r="AF48" i="5"/>
  <c r="AC48" i="3"/>
  <c r="C100" i="4" s="1"/>
  <c r="V43" i="3"/>
  <c r="W43" i="3" s="1"/>
  <c r="F59" i="4" s="1"/>
  <c r="D23" i="4"/>
  <c r="I43" i="3"/>
  <c r="E23" i="4" s="1"/>
  <c r="G23" i="4" s="1"/>
  <c r="H23" i="4" s="1"/>
  <c r="K43" i="3"/>
  <c r="L43" i="3" s="1"/>
  <c r="F23" i="4" s="1"/>
  <c r="AB48" i="3"/>
  <c r="AF38" i="5"/>
  <c r="D64" i="4"/>
  <c r="AN48" i="3"/>
  <c r="C136" i="4" s="1"/>
  <c r="K55" i="5"/>
  <c r="L55" i="5" s="1"/>
  <c r="I55" i="5"/>
  <c r="M55" i="5" s="1"/>
  <c r="N55" i="5" s="1"/>
  <c r="AN27" i="3"/>
  <c r="C125" i="4" s="1"/>
  <c r="AM27" i="3"/>
  <c r="AQ27" i="3" s="1"/>
  <c r="D16" i="4"/>
  <c r="I26" i="3"/>
  <c r="E16" i="4" s="1"/>
  <c r="G16" i="4" s="1"/>
  <c r="H16" i="4" s="1"/>
  <c r="K26" i="3"/>
  <c r="L26" i="3" s="1"/>
  <c r="F16" i="4" s="1"/>
  <c r="AZ17" i="3"/>
  <c r="BA17" i="3" s="1"/>
  <c r="E156" i="4" s="1"/>
  <c r="G156" i="4" s="1"/>
  <c r="H156" i="4" s="1"/>
  <c r="AG12" i="5"/>
  <c r="V12" i="5"/>
  <c r="Z12" i="5" s="1"/>
  <c r="AA12" i="5" s="1"/>
  <c r="AX16" i="3"/>
  <c r="AY16" i="3"/>
  <c r="D47" i="4"/>
  <c r="T16" i="3"/>
  <c r="E47" i="4" s="1"/>
  <c r="G47" i="4" s="1"/>
  <c r="H47" i="4" s="1"/>
  <c r="V16" i="3"/>
  <c r="W16" i="3" s="1"/>
  <c r="F47" i="4" s="1"/>
  <c r="C119" i="4"/>
  <c r="AO16" i="3"/>
  <c r="AQ16" i="3"/>
  <c r="V11" i="5"/>
  <c r="Z11" i="5" s="1"/>
  <c r="AA11" i="5" s="1"/>
  <c r="AK25" i="1"/>
  <c r="AL25" i="1" s="1"/>
  <c r="AM25" i="1" s="1"/>
  <c r="AD25" i="1"/>
  <c r="AE25" i="1" s="1"/>
  <c r="AE28" i="1" s="1"/>
  <c r="AE29" i="1" s="1"/>
  <c r="U47" i="5"/>
  <c r="W47" i="5"/>
  <c r="W48" i="3"/>
  <c r="F64" i="4" s="1"/>
  <c r="C41" i="4"/>
  <c r="U10" i="3"/>
  <c r="S10" i="3"/>
  <c r="AB10" i="3"/>
  <c r="AC10" i="3"/>
  <c r="AL10" i="3"/>
  <c r="I11" i="3"/>
  <c r="E6" i="4" s="1"/>
  <c r="G6" i="4" s="1"/>
  <c r="H6" i="4" s="1"/>
  <c r="D6" i="4"/>
  <c r="K11" i="3"/>
  <c r="L11" i="3" s="1"/>
  <c r="F6" i="4" s="1"/>
  <c r="L16" i="5"/>
  <c r="AT43" i="5"/>
  <c r="BE43" i="5"/>
  <c r="AS43" i="5"/>
  <c r="V30" i="5"/>
  <c r="Z30" i="5" s="1"/>
  <c r="AA30" i="5" s="1"/>
  <c r="X30" i="5"/>
  <c r="Y30" i="5" s="1"/>
  <c r="AK43" i="1"/>
  <c r="AL43" i="1" s="1"/>
  <c r="AM43" i="1" s="1"/>
  <c r="AD43" i="1"/>
  <c r="AE43" i="1" s="1"/>
  <c r="AF43" i="1" s="1"/>
  <c r="AG43" i="1" s="1"/>
  <c r="AH9" i="5"/>
  <c r="AJ9" i="5"/>
  <c r="AN44" i="1"/>
  <c r="AO44" i="1" s="1"/>
  <c r="AB24" i="3"/>
  <c r="AF24" i="3" s="1"/>
  <c r="AC24" i="3"/>
  <c r="AL24" i="3"/>
  <c r="AK11" i="1"/>
  <c r="AL11" i="1" s="1"/>
  <c r="AM11" i="1" s="1"/>
  <c r="AN11" i="1" s="1"/>
  <c r="AO11" i="1" s="1"/>
  <c r="AD11" i="1"/>
  <c r="AE11" i="1" s="1"/>
  <c r="AF11" i="1" s="1"/>
  <c r="AG11" i="1" s="1"/>
  <c r="AR47" i="5"/>
  <c r="AF47" i="5"/>
  <c r="AG47" i="5"/>
  <c r="T15" i="3"/>
  <c r="E46" i="4" s="1"/>
  <c r="G46" i="4" s="1"/>
  <c r="H46" i="4" s="1"/>
  <c r="V15" i="3"/>
  <c r="W15" i="3" s="1"/>
  <c r="F46" i="4" s="1"/>
  <c r="D46" i="4"/>
  <c r="AH43" i="5"/>
  <c r="AJ43" i="5"/>
  <c r="C52" i="4"/>
  <c r="S26" i="3"/>
  <c r="T26" i="3" s="1"/>
  <c r="E52" i="4" s="1"/>
  <c r="G52" i="4" s="1"/>
  <c r="H52" i="4" s="1"/>
  <c r="AT9" i="5"/>
  <c r="BE9" i="5"/>
  <c r="AS9" i="5"/>
  <c r="D67" i="4"/>
  <c r="V56" i="3"/>
  <c r="W56" i="3" s="1"/>
  <c r="F67" i="4" s="1"/>
  <c r="C55" i="4"/>
  <c r="S34" i="3"/>
  <c r="U34" i="3"/>
  <c r="T11" i="3"/>
  <c r="E42" i="4" s="1"/>
  <c r="G42" i="4" s="1"/>
  <c r="H42" i="4" s="1"/>
  <c r="D42" i="4"/>
  <c r="V11" i="3"/>
  <c r="W11" i="3" s="1"/>
  <c r="F42" i="4" s="1"/>
  <c r="AB26" i="3"/>
  <c r="AF26" i="3" s="1"/>
  <c r="AL26" i="3"/>
  <c r="AC26" i="3"/>
  <c r="D14" i="4"/>
  <c r="K24" i="3"/>
  <c r="L24" i="3" s="1"/>
  <c r="F14" i="4" s="1"/>
  <c r="AQ63" i="1"/>
  <c r="X36" i="5"/>
  <c r="Y36" i="5" s="1"/>
  <c r="V36" i="5"/>
  <c r="Z36" i="5" s="1"/>
  <c r="AA36" i="5" s="1"/>
  <c r="AC34" i="3"/>
  <c r="AB34" i="3"/>
  <c r="AL34" i="3"/>
  <c r="I10" i="3"/>
  <c r="E5" i="4" s="1"/>
  <c r="G5" i="4" s="1"/>
  <c r="H5" i="4" s="1"/>
  <c r="D5" i="4"/>
  <c r="K10" i="3"/>
  <c r="L10" i="3" s="1"/>
  <c r="F5" i="4" s="1"/>
  <c r="S24" i="3"/>
  <c r="T24" i="3" s="1"/>
  <c r="E50" i="4" s="1"/>
  <c r="G50" i="4" s="1"/>
  <c r="H50" i="4" s="1"/>
  <c r="C50" i="4"/>
  <c r="AN63" i="1"/>
  <c r="AO63" i="1" s="1"/>
  <c r="AF63" i="1"/>
  <c r="AG63" i="1" s="1"/>
  <c r="AI36" i="5"/>
  <c r="AM36" i="5" s="1"/>
  <c r="AN36" i="5" s="1"/>
  <c r="AK36" i="5"/>
  <c r="AL36" i="5" s="1"/>
  <c r="U57" i="3"/>
  <c r="C68" i="4"/>
  <c r="S57" i="3"/>
  <c r="T57" i="3" s="1"/>
  <c r="E68" i="4" s="1"/>
  <c r="G68" i="4" s="1"/>
  <c r="H68" i="4" s="1"/>
  <c r="AQ41" i="1"/>
  <c r="C167" i="4"/>
  <c r="BB43" i="3"/>
  <c r="BF43" i="3" s="1"/>
  <c r="AZ43" i="3"/>
  <c r="BA43" i="3" s="1"/>
  <c r="E167" i="4" s="1"/>
  <c r="G167" i="4" s="1"/>
  <c r="H167" i="4" s="1"/>
  <c r="BG36" i="5"/>
  <c r="BF36" i="5"/>
  <c r="AL57" i="3"/>
  <c r="AC57" i="3"/>
  <c r="AB57" i="3"/>
  <c r="AB49" i="3"/>
  <c r="AC49" i="3"/>
  <c r="AL49" i="3"/>
  <c r="AB42" i="3"/>
  <c r="AL42" i="3"/>
  <c r="AC42" i="3"/>
  <c r="D22" i="4"/>
  <c r="K42" i="3"/>
  <c r="L42" i="3" s="1"/>
  <c r="F22" i="4" s="1"/>
  <c r="I42" i="5"/>
  <c r="M42" i="5" s="1"/>
  <c r="N42" i="5" s="1"/>
  <c r="AG35" i="5"/>
  <c r="AR35" i="5"/>
  <c r="AF35" i="5"/>
  <c r="C65" i="4"/>
  <c r="S49" i="3"/>
  <c r="U49" i="3"/>
  <c r="AU36" i="5"/>
  <c r="AX36" i="5" s="1"/>
  <c r="AW36" i="5"/>
  <c r="AQ47" i="1"/>
  <c r="U35" i="5"/>
  <c r="X35" i="5" s="1"/>
  <c r="W35" i="5"/>
  <c r="S42" i="3"/>
  <c r="T42" i="3" s="1"/>
  <c r="E58" i="4" s="1"/>
  <c r="G58" i="4" s="1"/>
  <c r="H58" i="4" s="1"/>
  <c r="U42" i="3"/>
  <c r="C58" i="4"/>
  <c r="I23" i="3"/>
  <c r="E13" i="4" s="1"/>
  <c r="G13" i="4" s="1"/>
  <c r="H13" i="4" s="1"/>
  <c r="D13" i="4"/>
  <c r="K23" i="3"/>
  <c r="L23" i="3" s="1"/>
  <c r="F13" i="4" s="1"/>
  <c r="AN13" i="1"/>
  <c r="AO13" i="1" s="1"/>
  <c r="AF13" i="1"/>
  <c r="AG13" i="1" s="1"/>
  <c r="AQ13" i="1"/>
  <c r="AF9" i="1"/>
  <c r="AG9" i="1" s="1"/>
  <c r="AQ9" i="1"/>
  <c r="BC9" i="3"/>
  <c r="BD9" i="3" s="1"/>
  <c r="F148" i="4" s="1"/>
  <c r="D148" i="4"/>
  <c r="BA9" i="3"/>
  <c r="E148" i="4" s="1"/>
  <c r="G148" i="4" s="1"/>
  <c r="H148" i="4" s="1"/>
  <c r="I16" i="5"/>
  <c r="M16" i="5" s="1"/>
  <c r="N16" i="5" s="1"/>
  <c r="BJ15" i="5"/>
  <c r="BH15" i="5"/>
  <c r="BK15" i="5" s="1"/>
  <c r="AN35" i="1"/>
  <c r="AO35" i="1" s="1"/>
  <c r="AM36" i="1"/>
  <c r="AM37" i="1" s="1"/>
  <c r="AM38" i="1" s="1"/>
  <c r="AQ38" i="1" s="1"/>
  <c r="AX48" i="3"/>
  <c r="AY48" i="3"/>
  <c r="AJ42" i="5"/>
  <c r="AH42" i="5"/>
  <c r="AK42" i="5" s="1"/>
  <c r="AQ35" i="1"/>
  <c r="AF35" i="1"/>
  <c r="AG35" i="1" s="1"/>
  <c r="D21" i="4"/>
  <c r="K41" i="3"/>
  <c r="L41" i="3" s="1"/>
  <c r="F21" i="4" s="1"/>
  <c r="AH38" i="5"/>
  <c r="AJ38" i="5"/>
  <c r="AT38" i="5"/>
  <c r="AS38" i="5"/>
  <c r="BE38" i="5"/>
  <c r="BE42" i="5"/>
  <c r="AS42" i="5"/>
  <c r="AT42" i="5"/>
  <c r="L24" i="5"/>
  <c r="L25" i="5"/>
  <c r="AF45" i="1"/>
  <c r="AG45" i="1" s="1"/>
  <c r="AQ45" i="1"/>
  <c r="I41" i="3"/>
  <c r="E21" i="4" s="1"/>
  <c r="G21" i="4" s="1"/>
  <c r="H21" i="4" s="1"/>
  <c r="D24" i="4"/>
  <c r="K44" i="3"/>
  <c r="L44" i="3" s="1"/>
  <c r="F24" i="4" s="1"/>
  <c r="AG22" i="5"/>
  <c r="AF22" i="5"/>
  <c r="AJ22" i="5" s="1"/>
  <c r="AR22" i="5"/>
  <c r="I25" i="5"/>
  <c r="M25" i="5" s="1"/>
  <c r="N25" i="5" s="1"/>
  <c r="T23" i="3"/>
  <c r="E49" i="4" s="1"/>
  <c r="G49" i="4" s="1"/>
  <c r="H49" i="4" s="1"/>
  <c r="V23" i="3"/>
  <c r="W23" i="3" s="1"/>
  <c r="F49" i="4" s="1"/>
  <c r="D49" i="4"/>
  <c r="Y41" i="5"/>
  <c r="AN23" i="3"/>
  <c r="AW23" i="3"/>
  <c r="AM23" i="3"/>
  <c r="AQ23" i="3" s="1"/>
  <c r="AQ24" i="1"/>
  <c r="U22" i="5"/>
  <c r="X22" i="5" s="1"/>
  <c r="Y22" i="5" s="1"/>
  <c r="AD23" i="3"/>
  <c r="C85" i="4"/>
  <c r="I40" i="5"/>
  <c r="M40" i="5" s="1"/>
  <c r="N40" i="5" s="1"/>
  <c r="K40" i="5"/>
  <c r="L40" i="5" s="1"/>
  <c r="G70" i="1"/>
  <c r="W53" i="5"/>
  <c r="U53" i="5"/>
  <c r="X53" i="5" s="1"/>
  <c r="J53" i="5"/>
  <c r="H53" i="5"/>
  <c r="K53" i="5" s="1"/>
  <c r="H63" i="3"/>
  <c r="J63" i="3"/>
  <c r="J66" i="3" s="1"/>
  <c r="C33" i="4"/>
  <c r="Q63" i="3"/>
  <c r="AA63" i="3"/>
  <c r="R63" i="3"/>
  <c r="AH55" i="5"/>
  <c r="AK55" i="5" s="1"/>
  <c r="AJ55" i="5"/>
  <c r="BE55" i="5"/>
  <c r="AL65" i="1"/>
  <c r="AM65" i="1" s="1"/>
  <c r="AN65" i="1" s="1"/>
  <c r="AO65" i="1" s="1"/>
  <c r="U55" i="5"/>
  <c r="W55" i="5"/>
  <c r="AT55" i="5"/>
  <c r="AS55" i="5"/>
  <c r="AP44" i="3"/>
  <c r="E132" i="4" s="1"/>
  <c r="G132" i="4" s="1"/>
  <c r="H132" i="4" s="1"/>
  <c r="D132" i="4"/>
  <c r="AR44" i="3"/>
  <c r="AS44" i="3" s="1"/>
  <c r="F132" i="4" s="1"/>
  <c r="AQ33" i="3"/>
  <c r="AO33" i="3"/>
  <c r="C126" i="4"/>
  <c r="AN41" i="3"/>
  <c r="AW41" i="3"/>
  <c r="AM41" i="3"/>
  <c r="D61" i="4"/>
  <c r="V45" i="3"/>
  <c r="W45" i="3" s="1"/>
  <c r="F61" i="4" s="1"/>
  <c r="U47" i="3"/>
  <c r="S47" i="3"/>
  <c r="C63" i="4"/>
  <c r="AD42" i="1"/>
  <c r="AE42" i="1" s="1"/>
  <c r="AF42" i="1" s="1"/>
  <c r="AG42" i="1" s="1"/>
  <c r="AK42" i="1"/>
  <c r="AL42" i="1" s="1"/>
  <c r="AM42" i="1" s="1"/>
  <c r="AN42" i="1" s="1"/>
  <c r="AO42" i="1" s="1"/>
  <c r="AF27" i="1"/>
  <c r="AG27" i="1" s="1"/>
  <c r="AQ27" i="1"/>
  <c r="AF56" i="1"/>
  <c r="AG56" i="1" s="1"/>
  <c r="AE58" i="1"/>
  <c r="AI41" i="5"/>
  <c r="AM41" i="5" s="1"/>
  <c r="AN41" i="5" s="1"/>
  <c r="AD41" i="3"/>
  <c r="AF41" i="3"/>
  <c r="C93" i="4"/>
  <c r="AB47" i="3"/>
  <c r="AC47" i="3"/>
  <c r="AL47" i="3"/>
  <c r="AL41" i="5"/>
  <c r="AZ44" i="3"/>
  <c r="BB44" i="3"/>
  <c r="BF44" i="3" s="1"/>
  <c r="C168" i="4"/>
  <c r="U25" i="5"/>
  <c r="X25" i="5" s="1"/>
  <c r="Y25" i="5" s="1"/>
  <c r="AN56" i="1"/>
  <c r="AO56" i="1" s="1"/>
  <c r="AM58" i="1"/>
  <c r="I49" i="5"/>
  <c r="M49" i="5" s="1"/>
  <c r="N49" i="5" s="1"/>
  <c r="N50" i="5" s="1"/>
  <c r="AN45" i="3"/>
  <c r="AW45" i="3"/>
  <c r="AM45" i="3"/>
  <c r="AG25" i="5"/>
  <c r="AR25" i="5"/>
  <c r="AF25" i="5"/>
  <c r="AJ25" i="5" s="1"/>
  <c r="C51" i="4"/>
  <c r="S25" i="3"/>
  <c r="BH29" i="5"/>
  <c r="BK29" i="5" s="1"/>
  <c r="BJ29" i="5"/>
  <c r="I25" i="3"/>
  <c r="E15" i="4" s="1"/>
  <c r="G15" i="4" s="1"/>
  <c r="H15" i="4" s="1"/>
  <c r="D15" i="4"/>
  <c r="K25" i="3"/>
  <c r="L25" i="3" s="1"/>
  <c r="F15" i="4" s="1"/>
  <c r="AF45" i="3"/>
  <c r="AD45" i="3"/>
  <c r="C97" i="4"/>
  <c r="AF37" i="5"/>
  <c r="AG37" i="5"/>
  <c r="AR37" i="5"/>
  <c r="W49" i="5"/>
  <c r="U49" i="5"/>
  <c r="X49" i="5" s="1"/>
  <c r="D25" i="4"/>
  <c r="K45" i="3"/>
  <c r="L45" i="3" s="1"/>
  <c r="F25" i="4" s="1"/>
  <c r="AL25" i="3"/>
  <c r="AB25" i="3"/>
  <c r="AF25" i="3" s="1"/>
  <c r="AC25" i="3"/>
  <c r="AP56" i="3"/>
  <c r="E139" i="4" s="1"/>
  <c r="G139" i="4" s="1"/>
  <c r="H139" i="4" s="1"/>
  <c r="D139" i="4"/>
  <c r="AR56" i="3"/>
  <c r="AS56" i="3" s="1"/>
  <c r="F139" i="4" s="1"/>
  <c r="AF49" i="5"/>
  <c r="AG49" i="5"/>
  <c r="AR49" i="5"/>
  <c r="AS21" i="5"/>
  <c r="AW21" i="5" s="1"/>
  <c r="AT21" i="5"/>
  <c r="BE21" i="5"/>
  <c r="U28" i="3"/>
  <c r="AI29" i="5"/>
  <c r="AM29" i="5" s="1"/>
  <c r="AN29" i="5" s="1"/>
  <c r="C175" i="4"/>
  <c r="AZ56" i="3"/>
  <c r="BA56" i="3" s="1"/>
  <c r="E175" i="4" s="1"/>
  <c r="G175" i="4" s="1"/>
  <c r="H175" i="4" s="1"/>
  <c r="BB56" i="3"/>
  <c r="BF56" i="3" s="1"/>
  <c r="AY33" i="3"/>
  <c r="AX33" i="3"/>
  <c r="U37" i="5"/>
  <c r="W37" i="5"/>
  <c r="D53" i="4"/>
  <c r="V27" i="3"/>
  <c r="W27" i="3" s="1"/>
  <c r="F53" i="4" s="1"/>
  <c r="AH21" i="5"/>
  <c r="AK21" i="5" s="1"/>
  <c r="AL21" i="5" s="1"/>
  <c r="AQ56" i="1"/>
  <c r="S14" i="3"/>
  <c r="C45" i="4"/>
  <c r="U14" i="3"/>
  <c r="AJ17" i="5"/>
  <c r="AH17" i="5"/>
  <c r="AK17" i="5" s="1"/>
  <c r="AC14" i="3"/>
  <c r="AL14" i="3"/>
  <c r="AB14" i="3"/>
  <c r="AS17" i="5"/>
  <c r="AT17" i="5"/>
  <c r="BE17" i="5"/>
  <c r="AT16" i="5"/>
  <c r="BE16" i="5"/>
  <c r="AS16" i="5"/>
  <c r="AH16" i="5"/>
  <c r="AK16" i="5" s="1"/>
  <c r="AJ16" i="5"/>
  <c r="AK16" i="1"/>
  <c r="AL16" i="1" s="1"/>
  <c r="AM16" i="1" s="1"/>
  <c r="AN16" i="1" s="1"/>
  <c r="AO16" i="1" s="1"/>
  <c r="AD16" i="1"/>
  <c r="AE16" i="1" s="1"/>
  <c r="AF16" i="1" s="1"/>
  <c r="AG16" i="1" s="1"/>
  <c r="BE11" i="5"/>
  <c r="AT11" i="5"/>
  <c r="AS11" i="5"/>
  <c r="AE11" i="3"/>
  <c r="E78" i="4" s="1"/>
  <c r="G78" i="4" s="1"/>
  <c r="H78" i="4" s="1"/>
  <c r="AG11" i="3"/>
  <c r="AH11" i="3" s="1"/>
  <c r="F78" i="4" s="1"/>
  <c r="D78" i="4"/>
  <c r="Y11" i="5"/>
  <c r="AF12" i="1"/>
  <c r="AG12" i="1" s="1"/>
  <c r="AQ12" i="1"/>
  <c r="BB11" i="3"/>
  <c r="BF11" i="3" s="1"/>
  <c r="C150" i="4"/>
  <c r="AZ11" i="3"/>
  <c r="AH11" i="5"/>
  <c r="AK11" i="5" s="1"/>
  <c r="AJ11" i="5"/>
  <c r="L13" i="5"/>
  <c r="S13" i="3"/>
  <c r="T13" i="3" s="1"/>
  <c r="E44" i="4" s="1"/>
  <c r="G44" i="4" s="1"/>
  <c r="H44" i="4" s="1"/>
  <c r="C44" i="4"/>
  <c r="U13" i="3"/>
  <c r="D8" i="4"/>
  <c r="K13" i="3"/>
  <c r="L13" i="3" s="1"/>
  <c r="F8" i="4" s="1"/>
  <c r="J18" i="3"/>
  <c r="J19" i="3" s="1"/>
  <c r="AC13" i="3"/>
  <c r="AB13" i="3"/>
  <c r="AL13" i="3"/>
  <c r="I13" i="5"/>
  <c r="M13" i="5" s="1"/>
  <c r="N13" i="5" s="1"/>
  <c r="I13" i="3"/>
  <c r="E8" i="4" s="1"/>
  <c r="G8" i="4" s="1"/>
  <c r="H8" i="4" s="1"/>
  <c r="AT12" i="5"/>
  <c r="AS12" i="5"/>
  <c r="BE12" i="5"/>
  <c r="AT39" i="5"/>
  <c r="AS39" i="5"/>
  <c r="BE39" i="5"/>
  <c r="AU41" i="5"/>
  <c r="AW41" i="5"/>
  <c r="V41" i="5"/>
  <c r="Z41" i="5" s="1"/>
  <c r="AA41" i="5" s="1"/>
  <c r="AO27" i="3"/>
  <c r="AP27" i="3" s="1"/>
  <c r="E125" i="4" s="1"/>
  <c r="G125" i="4" s="1"/>
  <c r="H125" i="4" s="1"/>
  <c r="BE40" i="5"/>
  <c r="AT40" i="5"/>
  <c r="AS40" i="5"/>
  <c r="AF15" i="1"/>
  <c r="AG15" i="1" s="1"/>
  <c r="D66" i="4"/>
  <c r="V55" i="3"/>
  <c r="W55" i="3" s="1"/>
  <c r="F66" i="4" s="1"/>
  <c r="W31" i="5"/>
  <c r="U31" i="5"/>
  <c r="X31" i="5" s="1"/>
  <c r="D43" i="4"/>
  <c r="V12" i="3"/>
  <c r="W12" i="3" s="1"/>
  <c r="F43" i="4" s="1"/>
  <c r="AJ39" i="5"/>
  <c r="AH39" i="5"/>
  <c r="T46" i="3"/>
  <c r="E62" i="4" s="1"/>
  <c r="G62" i="4" s="1"/>
  <c r="H62" i="4" s="1"/>
  <c r="V46" i="3"/>
  <c r="W46" i="3" s="1"/>
  <c r="F62" i="4" s="1"/>
  <c r="D62" i="4"/>
  <c r="AH12" i="5"/>
  <c r="AK12" i="5" s="1"/>
  <c r="AJ12" i="5"/>
  <c r="BG41" i="5"/>
  <c r="BF41" i="5"/>
  <c r="AL64" i="3"/>
  <c r="AB64" i="3"/>
  <c r="AC64" i="3"/>
  <c r="AY14" i="5"/>
  <c r="AE66" i="1"/>
  <c r="AQ15" i="1"/>
  <c r="AK14" i="5"/>
  <c r="AL14" i="5" s="1"/>
  <c r="AI14" i="5"/>
  <c r="AM14" i="5" s="1"/>
  <c r="AN14" i="5" s="1"/>
  <c r="AH13" i="5"/>
  <c r="AK13" i="5" s="1"/>
  <c r="AJ13" i="5"/>
  <c r="C118" i="4"/>
  <c r="AO15" i="3"/>
  <c r="AP15" i="3" s="1"/>
  <c r="E118" i="4" s="1"/>
  <c r="G118" i="4" s="1"/>
  <c r="H118" i="4" s="1"/>
  <c r="AQ15" i="3"/>
  <c r="U24" i="5"/>
  <c r="X24" i="5" s="1"/>
  <c r="Y24" i="5" s="1"/>
  <c r="AF12" i="3"/>
  <c r="C79" i="4"/>
  <c r="AD12" i="3"/>
  <c r="AE12" i="3" s="1"/>
  <c r="E79" i="4" s="1"/>
  <c r="G79" i="4" s="1"/>
  <c r="H79" i="4" s="1"/>
  <c r="V16" i="5"/>
  <c r="Z16" i="5" s="1"/>
  <c r="AA16" i="5" s="1"/>
  <c r="X16" i="5"/>
  <c r="Y16" i="5" s="1"/>
  <c r="U58" i="3"/>
  <c r="D103" i="4"/>
  <c r="AG56" i="3"/>
  <c r="AH56" i="3" s="1"/>
  <c r="F103" i="4" s="1"/>
  <c r="AQ49" i="1"/>
  <c r="AT53" i="5"/>
  <c r="AS53" i="5"/>
  <c r="AS54" i="5"/>
  <c r="AT54" i="5"/>
  <c r="BE53" i="5"/>
  <c r="AN46" i="3"/>
  <c r="AM46" i="3"/>
  <c r="AW46" i="3"/>
  <c r="AY15" i="3"/>
  <c r="AX15" i="3"/>
  <c r="AR24" i="5"/>
  <c r="AG24" i="5"/>
  <c r="AF24" i="5"/>
  <c r="AJ24" i="5" s="1"/>
  <c r="AW12" i="3"/>
  <c r="AM12" i="3"/>
  <c r="AN12" i="3"/>
  <c r="AC35" i="3"/>
  <c r="AL35" i="3"/>
  <c r="AB35" i="3"/>
  <c r="AU30" i="5"/>
  <c r="AX30" i="5" s="1"/>
  <c r="AW30" i="5"/>
  <c r="AJ53" i="5"/>
  <c r="AH53" i="5"/>
  <c r="AK53" i="5" s="1"/>
  <c r="AF55" i="3"/>
  <c r="AD55" i="3"/>
  <c r="C102" i="4"/>
  <c r="BE54" i="5"/>
  <c r="AL64" i="1"/>
  <c r="AM64" i="1" s="1"/>
  <c r="AN64" i="1" s="1"/>
  <c r="AO64" i="1" s="1"/>
  <c r="K33" i="3"/>
  <c r="L33" i="3" s="1"/>
  <c r="F18" i="4" s="1"/>
  <c r="D18" i="4"/>
  <c r="BE13" i="5"/>
  <c r="AS13" i="5"/>
  <c r="AT13" i="5"/>
  <c r="I31" i="5"/>
  <c r="M31" i="5" s="1"/>
  <c r="N31" i="5" s="1"/>
  <c r="K31" i="5"/>
  <c r="L31" i="5" s="1"/>
  <c r="AD46" i="3"/>
  <c r="AE46" i="3" s="1"/>
  <c r="E98" i="4" s="1"/>
  <c r="G98" i="4" s="1"/>
  <c r="H98" i="4" s="1"/>
  <c r="AF46" i="3"/>
  <c r="C98" i="4"/>
  <c r="AD48" i="1"/>
  <c r="AE48" i="1" s="1"/>
  <c r="AK48" i="1"/>
  <c r="AL48" i="1" s="1"/>
  <c r="AM48" i="1" s="1"/>
  <c r="AN48" i="1" s="1"/>
  <c r="AO48" i="1" s="1"/>
  <c r="G71" i="1"/>
  <c r="S35" i="3"/>
  <c r="T35" i="3" s="1"/>
  <c r="E56" i="4" s="1"/>
  <c r="G56" i="4" s="1"/>
  <c r="H56" i="4" s="1"/>
  <c r="U35" i="3"/>
  <c r="C56" i="4"/>
  <c r="U54" i="5"/>
  <c r="X54" i="5" s="1"/>
  <c r="W54" i="5"/>
  <c r="AN41" i="1"/>
  <c r="AO41" i="1" s="1"/>
  <c r="AF64" i="1"/>
  <c r="AG64" i="1" s="1"/>
  <c r="J36" i="3"/>
  <c r="AY27" i="3"/>
  <c r="AX27" i="3"/>
  <c r="BB27" i="3" s="1"/>
  <c r="BF27" i="3" s="1"/>
  <c r="X39" i="5"/>
  <c r="Y39" i="5" s="1"/>
  <c r="V39" i="5"/>
  <c r="Z39" i="5" s="1"/>
  <c r="AA39" i="5" s="1"/>
  <c r="V13" i="5"/>
  <c r="Z13" i="5" s="1"/>
  <c r="AA13" i="5" s="1"/>
  <c r="X13" i="5"/>
  <c r="Y13" i="5" s="1"/>
  <c r="I24" i="5"/>
  <c r="M24" i="5" s="1"/>
  <c r="N24" i="5" s="1"/>
  <c r="N26" i="5" s="1"/>
  <c r="BG30" i="5"/>
  <c r="BF30" i="5"/>
  <c r="K64" i="3"/>
  <c r="L64" i="3" s="1"/>
  <c r="F34" i="4" s="1"/>
  <c r="D34" i="4"/>
  <c r="D89" i="4"/>
  <c r="AG27" i="3"/>
  <c r="AH27" i="3" s="1"/>
  <c r="F89" i="4" s="1"/>
  <c r="AF41" i="1"/>
  <c r="AG41" i="1" s="1"/>
  <c r="J50" i="3"/>
  <c r="AW55" i="3"/>
  <c r="AN55" i="3"/>
  <c r="AM55" i="3"/>
  <c r="AR31" i="5"/>
  <c r="AG31" i="5"/>
  <c r="AF31" i="5"/>
  <c r="BH14" i="5"/>
  <c r="BK14" i="5" s="1"/>
  <c r="BJ14" i="5"/>
  <c r="T12" i="3"/>
  <c r="E43" i="4" s="1"/>
  <c r="G43" i="4" s="1"/>
  <c r="H43" i="4" s="1"/>
  <c r="C147" i="4"/>
  <c r="BB8" i="3"/>
  <c r="AZ8" i="3"/>
  <c r="BA8" i="3" s="1"/>
  <c r="E147" i="4" s="1"/>
  <c r="G147" i="4" s="1"/>
  <c r="H147" i="4" s="1"/>
  <c r="D82" i="4"/>
  <c r="AG15" i="3"/>
  <c r="AH15" i="3" s="1"/>
  <c r="F82" i="4" s="1"/>
  <c r="AV14" i="5"/>
  <c r="AZ14" i="5" s="1"/>
  <c r="BA14" i="5" s="1"/>
  <c r="S64" i="3"/>
  <c r="U64" i="3"/>
  <c r="C70" i="4"/>
  <c r="AJ54" i="5"/>
  <c r="AH54" i="5"/>
  <c r="AK54" i="5" s="1"/>
  <c r="D26" i="4"/>
  <c r="K46" i="3"/>
  <c r="L46" i="3" s="1"/>
  <c r="F26" i="4" s="1"/>
  <c r="G60" i="1"/>
  <c r="AZ65" i="3"/>
  <c r="C179" i="4"/>
  <c r="BB65" i="3"/>
  <c r="AH40" i="5"/>
  <c r="AK40" i="5" s="1"/>
  <c r="AJ40" i="5"/>
  <c r="BI15" i="5" l="1"/>
  <c r="BM15" i="5" s="1"/>
  <c r="BN15" i="5" s="1"/>
  <c r="BP15" i="5" s="1"/>
  <c r="BF17" i="3"/>
  <c r="D120" i="4"/>
  <c r="AR17" i="3"/>
  <c r="AS17" i="3" s="1"/>
  <c r="F120" i="4" s="1"/>
  <c r="N18" i="5"/>
  <c r="AP17" i="3"/>
  <c r="E120" i="4" s="1"/>
  <c r="G120" i="4" s="1"/>
  <c r="H120" i="4" s="1"/>
  <c r="AU23" i="5"/>
  <c r="AX23" i="5" s="1"/>
  <c r="AY23" i="5" s="1"/>
  <c r="BF23" i="5"/>
  <c r="BJ23" i="5" s="1"/>
  <c r="BG23" i="5"/>
  <c r="BH23" i="5" s="1"/>
  <c r="BK23" i="5" s="1"/>
  <c r="V48" i="5"/>
  <c r="Z48" i="5" s="1"/>
  <c r="AA48" i="5" s="1"/>
  <c r="BC17" i="3"/>
  <c r="BD17" i="3" s="1"/>
  <c r="F156" i="4" s="1"/>
  <c r="AL11" i="5"/>
  <c r="AP11" i="3"/>
  <c r="E114" i="4" s="1"/>
  <c r="G114" i="4" s="1"/>
  <c r="H114" i="4" s="1"/>
  <c r="Y35" i="5"/>
  <c r="AO48" i="3"/>
  <c r="BE10" i="5"/>
  <c r="AS10" i="5"/>
  <c r="AT10" i="5"/>
  <c r="AI16" i="5"/>
  <c r="AM16" i="5" s="1"/>
  <c r="AN16" i="5" s="1"/>
  <c r="AR11" i="3"/>
  <c r="AS11" i="3" s="1"/>
  <c r="F114" i="4" s="1"/>
  <c r="V10" i="5"/>
  <c r="Z10" i="5" s="1"/>
  <c r="AA10" i="5" s="1"/>
  <c r="X10" i="5"/>
  <c r="Y10" i="5" s="1"/>
  <c r="AJ10" i="5"/>
  <c r="AH10" i="5"/>
  <c r="AH8" i="5"/>
  <c r="AJ8" i="5"/>
  <c r="AT8" i="5"/>
  <c r="BE8" i="5"/>
  <c r="AS8" i="5"/>
  <c r="D156" i="4"/>
  <c r="BI29" i="5"/>
  <c r="BM29" i="5" s="1"/>
  <c r="BN29" i="5" s="1"/>
  <c r="BP29" i="5" s="1"/>
  <c r="AT48" i="5"/>
  <c r="BE48" i="5"/>
  <c r="AS48" i="5"/>
  <c r="AH48" i="5"/>
  <c r="AK48" i="5" s="1"/>
  <c r="AJ48" i="5"/>
  <c r="Y48" i="5"/>
  <c r="N44" i="5"/>
  <c r="AF48" i="3"/>
  <c r="AQ48" i="3"/>
  <c r="AD48" i="3"/>
  <c r="AG48" i="3" s="1"/>
  <c r="V22" i="5"/>
  <c r="Z22" i="5" s="1"/>
  <c r="AA22" i="5" s="1"/>
  <c r="BL15" i="5"/>
  <c r="C155" i="4"/>
  <c r="BB16" i="3"/>
  <c r="BF16" i="3" s="1"/>
  <c r="AZ16" i="3"/>
  <c r="AP16" i="3"/>
  <c r="E119" i="4" s="1"/>
  <c r="G119" i="4" s="1"/>
  <c r="H119" i="4" s="1"/>
  <c r="D119" i="4"/>
  <c r="AR16" i="3"/>
  <c r="AS16" i="3" s="1"/>
  <c r="F119" i="4" s="1"/>
  <c r="V47" i="5"/>
  <c r="Z47" i="5" s="1"/>
  <c r="AA47" i="5" s="1"/>
  <c r="X47" i="5"/>
  <c r="Y47" i="5" s="1"/>
  <c r="AI9" i="5"/>
  <c r="AM9" i="5" s="1"/>
  <c r="AN9" i="5" s="1"/>
  <c r="AK9" i="5"/>
  <c r="AL9" i="5" s="1"/>
  <c r="AD10" i="3"/>
  <c r="C77" i="4"/>
  <c r="AF10" i="3"/>
  <c r="Y53" i="5"/>
  <c r="D50" i="4"/>
  <c r="V24" i="3"/>
  <c r="W24" i="3" s="1"/>
  <c r="F50" i="4" s="1"/>
  <c r="BF9" i="5"/>
  <c r="BG9" i="5"/>
  <c r="AU43" i="5"/>
  <c r="AX43" i="5" s="1"/>
  <c r="AW43" i="5"/>
  <c r="AQ43" i="1"/>
  <c r="BG43" i="5"/>
  <c r="BF43" i="5"/>
  <c r="AM18" i="1"/>
  <c r="AM19" i="1" s="1"/>
  <c r="AU9" i="5"/>
  <c r="AX9" i="5" s="1"/>
  <c r="AW9" i="5"/>
  <c r="AN24" i="3"/>
  <c r="AM24" i="3"/>
  <c r="AQ24" i="3" s="1"/>
  <c r="AW24" i="3"/>
  <c r="AN43" i="1"/>
  <c r="AO43" i="1" s="1"/>
  <c r="T10" i="3"/>
  <c r="E41" i="4" s="1"/>
  <c r="G41" i="4" s="1"/>
  <c r="H41" i="4" s="1"/>
  <c r="D41" i="4"/>
  <c r="V10" i="3"/>
  <c r="W10" i="3" s="1"/>
  <c r="F41" i="4" s="1"/>
  <c r="AF25" i="1"/>
  <c r="AG25" i="1" s="1"/>
  <c r="AQ25" i="1"/>
  <c r="U50" i="3"/>
  <c r="U51" i="3" s="1"/>
  <c r="U52" i="3" s="1"/>
  <c r="AY36" i="5"/>
  <c r="C86" i="4"/>
  <c r="AD24" i="3"/>
  <c r="AQ11" i="1"/>
  <c r="AN25" i="1"/>
  <c r="AO25" i="1" s="1"/>
  <c r="AM28" i="1"/>
  <c r="AM26" i="3"/>
  <c r="AQ26" i="3" s="1"/>
  <c r="AW26" i="3"/>
  <c r="AN26" i="3"/>
  <c r="AS47" i="5"/>
  <c r="BE47" i="5"/>
  <c r="AT47" i="5"/>
  <c r="AI43" i="5"/>
  <c r="AM43" i="5" s="1"/>
  <c r="AN43" i="5" s="1"/>
  <c r="AK43" i="5"/>
  <c r="AL43" i="5" s="1"/>
  <c r="AN10" i="3"/>
  <c r="AM10" i="3"/>
  <c r="AW10" i="3"/>
  <c r="AQ37" i="1"/>
  <c r="U18" i="3"/>
  <c r="U19" i="3" s="1"/>
  <c r="V25" i="5"/>
  <c r="Z25" i="5" s="1"/>
  <c r="AA25" i="5" s="1"/>
  <c r="AQ36" i="1"/>
  <c r="T34" i="3"/>
  <c r="E55" i="4" s="1"/>
  <c r="G55" i="4" s="1"/>
  <c r="H55" i="4" s="1"/>
  <c r="D55" i="4"/>
  <c r="V34" i="3"/>
  <c r="W34" i="3" s="1"/>
  <c r="F55" i="4" s="1"/>
  <c r="D52" i="4"/>
  <c r="V26" i="3"/>
  <c r="W26" i="3" s="1"/>
  <c r="F52" i="4" s="1"/>
  <c r="AH47" i="5"/>
  <c r="AK47" i="5" s="1"/>
  <c r="AJ47" i="5"/>
  <c r="C91" i="4"/>
  <c r="AF34" i="3"/>
  <c r="AD34" i="3"/>
  <c r="AE34" i="3" s="1"/>
  <c r="E91" i="4" s="1"/>
  <c r="G91" i="4" s="1"/>
  <c r="H91" i="4" s="1"/>
  <c r="AI40" i="5"/>
  <c r="AM40" i="5" s="1"/>
  <c r="AN40" i="5" s="1"/>
  <c r="AI17" i="5"/>
  <c r="AM17" i="5" s="1"/>
  <c r="AN17" i="5" s="1"/>
  <c r="V35" i="5"/>
  <c r="Z35" i="5" s="1"/>
  <c r="AA35" i="5" s="1"/>
  <c r="AN34" i="3"/>
  <c r="AW34" i="3"/>
  <c r="AM34" i="3"/>
  <c r="C88" i="4"/>
  <c r="AD26" i="3"/>
  <c r="AE26" i="3" s="1"/>
  <c r="E88" i="4" s="1"/>
  <c r="G88" i="4" s="1"/>
  <c r="H88" i="4" s="1"/>
  <c r="AI53" i="5"/>
  <c r="AM53" i="5" s="1"/>
  <c r="AN53" i="5" s="1"/>
  <c r="AE48" i="3"/>
  <c r="E100" i="4" s="1"/>
  <c r="G100" i="4" s="1"/>
  <c r="H100" i="4" s="1"/>
  <c r="AD42" i="3"/>
  <c r="AE42" i="3" s="1"/>
  <c r="E94" i="4" s="1"/>
  <c r="G94" i="4" s="1"/>
  <c r="H94" i="4" s="1"/>
  <c r="C94" i="4"/>
  <c r="AF42" i="3"/>
  <c r="AW42" i="3"/>
  <c r="AN42" i="3"/>
  <c r="AM42" i="3"/>
  <c r="AM57" i="3"/>
  <c r="AW57" i="3"/>
  <c r="AN57" i="3"/>
  <c r="D68" i="4"/>
  <c r="V57" i="3"/>
  <c r="W57" i="3" s="1"/>
  <c r="F68" i="4" s="1"/>
  <c r="C104" i="4"/>
  <c r="AD57" i="3"/>
  <c r="AF57" i="3"/>
  <c r="AF58" i="3" s="1"/>
  <c r="BE35" i="5"/>
  <c r="AS35" i="5"/>
  <c r="AT35" i="5"/>
  <c r="AW49" i="3"/>
  <c r="AM49" i="3"/>
  <c r="AN49" i="3"/>
  <c r="BJ36" i="5"/>
  <c r="BH36" i="5"/>
  <c r="BK36" i="5" s="1"/>
  <c r="D58" i="4"/>
  <c r="V42" i="3"/>
  <c r="W42" i="3" s="1"/>
  <c r="F58" i="4" s="1"/>
  <c r="AV36" i="5"/>
  <c r="AZ36" i="5" s="1"/>
  <c r="BA36" i="5" s="1"/>
  <c r="AJ35" i="5"/>
  <c r="AH35" i="5"/>
  <c r="AK35" i="5" s="1"/>
  <c r="AD49" i="3"/>
  <c r="AF49" i="3"/>
  <c r="C101" i="4"/>
  <c r="D167" i="4"/>
  <c r="BC43" i="3"/>
  <c r="BD43" i="3" s="1"/>
  <c r="F167" i="4" s="1"/>
  <c r="T49" i="3"/>
  <c r="E65" i="4" s="1"/>
  <c r="G65" i="4" s="1"/>
  <c r="H65" i="4" s="1"/>
  <c r="V49" i="3"/>
  <c r="W49" i="3" s="1"/>
  <c r="F65" i="4" s="1"/>
  <c r="D65" i="4"/>
  <c r="BI14" i="5"/>
  <c r="BM14" i="5" s="1"/>
  <c r="BN14" i="5" s="1"/>
  <c r="BP14" i="5" s="1"/>
  <c r="AU38" i="5"/>
  <c r="AX38" i="5" s="1"/>
  <c r="AW38" i="5"/>
  <c r="AL42" i="5"/>
  <c r="AI38" i="5"/>
  <c r="AM38" i="5" s="1"/>
  <c r="AN38" i="5" s="1"/>
  <c r="AK38" i="5"/>
  <c r="AL38" i="5" s="1"/>
  <c r="AI11" i="5"/>
  <c r="AM11" i="5" s="1"/>
  <c r="AN11" i="5" s="1"/>
  <c r="AH22" i="5"/>
  <c r="AK22" i="5" s="1"/>
  <c r="AL22" i="5" s="1"/>
  <c r="AI42" i="5"/>
  <c r="AM42" i="5" s="1"/>
  <c r="AN42" i="5" s="1"/>
  <c r="BE22" i="5"/>
  <c r="AS22" i="5"/>
  <c r="AW22" i="5" s="1"/>
  <c r="AT22" i="5"/>
  <c r="AL54" i="5"/>
  <c r="AU42" i="5"/>
  <c r="AW42" i="5"/>
  <c r="C172" i="4"/>
  <c r="BB48" i="3"/>
  <c r="BF48" i="3" s="1"/>
  <c r="AZ48" i="3"/>
  <c r="AP48" i="3"/>
  <c r="E136" i="4" s="1"/>
  <c r="G136" i="4" s="1"/>
  <c r="H136" i="4" s="1"/>
  <c r="AR48" i="3"/>
  <c r="AS48" i="3" s="1"/>
  <c r="F136" i="4" s="1"/>
  <c r="D136" i="4"/>
  <c r="AY23" i="3"/>
  <c r="AX23" i="3"/>
  <c r="BB23" i="3" s="1"/>
  <c r="BF23" i="3" s="1"/>
  <c r="D85" i="4"/>
  <c r="AG23" i="3"/>
  <c r="AH23" i="3" s="1"/>
  <c r="F85" i="4" s="1"/>
  <c r="C121" i="4"/>
  <c r="AO23" i="3"/>
  <c r="BG42" i="5"/>
  <c r="BF42" i="5"/>
  <c r="AQ64" i="1"/>
  <c r="AQ42" i="1"/>
  <c r="AE23" i="3"/>
  <c r="E85" i="4" s="1"/>
  <c r="G85" i="4" s="1"/>
  <c r="H85" i="4" s="1"/>
  <c r="BF38" i="5"/>
  <c r="BG38" i="5"/>
  <c r="L53" i="5"/>
  <c r="AL53" i="5"/>
  <c r="K63" i="3"/>
  <c r="L63" i="3" s="1"/>
  <c r="F33" i="4" s="1"/>
  <c r="F36" i="4" s="1"/>
  <c r="D33" i="4"/>
  <c r="U63" i="3"/>
  <c r="U66" i="3" s="1"/>
  <c r="C69" i="4"/>
  <c r="S63" i="3"/>
  <c r="I53" i="5"/>
  <c r="M53" i="5" s="1"/>
  <c r="N53" i="5" s="1"/>
  <c r="N56" i="5" s="1"/>
  <c r="AB63" i="3"/>
  <c r="AC63" i="3"/>
  <c r="AL63" i="3"/>
  <c r="V53" i="5"/>
  <c r="Z53" i="5" s="1"/>
  <c r="AA53" i="5" s="1"/>
  <c r="I63" i="3"/>
  <c r="E33" i="4" s="1"/>
  <c r="G33" i="4" s="1"/>
  <c r="H33" i="4" s="1"/>
  <c r="H36" i="4" s="1"/>
  <c r="AI54" i="5"/>
  <c r="AM54" i="5" s="1"/>
  <c r="AN54" i="5" s="1"/>
  <c r="AU55" i="5"/>
  <c r="AX55" i="5" s="1"/>
  <c r="AW55" i="5"/>
  <c r="BG55" i="5"/>
  <c r="BF55" i="5"/>
  <c r="V55" i="5"/>
  <c r="Z55" i="5" s="1"/>
  <c r="AA55" i="5" s="1"/>
  <c r="X55" i="5"/>
  <c r="Y55" i="5" s="1"/>
  <c r="AQ65" i="1"/>
  <c r="AL55" i="5"/>
  <c r="Y54" i="5"/>
  <c r="AI55" i="5"/>
  <c r="AM55" i="5" s="1"/>
  <c r="AN55" i="5" s="1"/>
  <c r="U29" i="3"/>
  <c r="U30" i="3" s="1"/>
  <c r="AS25" i="5"/>
  <c r="AW25" i="5" s="1"/>
  <c r="AT25" i="5"/>
  <c r="AU25" i="5" s="1"/>
  <c r="AX25" i="5" s="1"/>
  <c r="BE25" i="5"/>
  <c r="C162" i="4"/>
  <c r="AZ33" i="3"/>
  <c r="BB33" i="3"/>
  <c r="BF33" i="3" s="1"/>
  <c r="AJ37" i="5"/>
  <c r="AH37" i="5"/>
  <c r="AK37" i="5" s="1"/>
  <c r="D51" i="4"/>
  <c r="V25" i="3"/>
  <c r="W25" i="3" s="1"/>
  <c r="F51" i="4" s="1"/>
  <c r="AD47" i="3"/>
  <c r="C99" i="4"/>
  <c r="AF47" i="3"/>
  <c r="AR33" i="3"/>
  <c r="AS33" i="3" s="1"/>
  <c r="F126" i="4" s="1"/>
  <c r="D126" i="4"/>
  <c r="AM59" i="1"/>
  <c r="AM60" i="1" s="1"/>
  <c r="AF28" i="3"/>
  <c r="D168" i="4"/>
  <c r="BC44" i="3"/>
  <c r="BD44" i="3" s="1"/>
  <c r="F168" i="4" s="1"/>
  <c r="C87" i="4"/>
  <c r="AD25" i="3"/>
  <c r="AU21" i="5"/>
  <c r="AX21" i="5" s="1"/>
  <c r="AY21" i="5" s="1"/>
  <c r="AW25" i="3"/>
  <c r="AM25" i="3"/>
  <c r="AQ25" i="3" s="1"/>
  <c r="AQ28" i="3" s="1"/>
  <c r="AQ29" i="3" s="1"/>
  <c r="AQ30" i="3" s="1"/>
  <c r="AN25" i="3"/>
  <c r="V49" i="5"/>
  <c r="Z49" i="5" s="1"/>
  <c r="AA49" i="5" s="1"/>
  <c r="AH25" i="5"/>
  <c r="AK25" i="5" s="1"/>
  <c r="AL25" i="5" s="1"/>
  <c r="T47" i="3"/>
  <c r="E63" i="4" s="1"/>
  <c r="G63" i="4" s="1"/>
  <c r="H63" i="4" s="1"/>
  <c r="V47" i="3"/>
  <c r="W47" i="3" s="1"/>
  <c r="F63" i="4" s="1"/>
  <c r="D63" i="4"/>
  <c r="AX41" i="3"/>
  <c r="AY41" i="3"/>
  <c r="AV30" i="5"/>
  <c r="AZ30" i="5" s="1"/>
  <c r="BA30" i="5" s="1"/>
  <c r="BC56" i="3"/>
  <c r="BD56" i="3" s="1"/>
  <c r="F175" i="4" s="1"/>
  <c r="D175" i="4"/>
  <c r="AE45" i="3"/>
  <c r="E97" i="4" s="1"/>
  <c r="G97" i="4" s="1"/>
  <c r="H97" i="4" s="1"/>
  <c r="D97" i="4"/>
  <c r="AG45" i="3"/>
  <c r="AH45" i="3" s="1"/>
  <c r="F97" i="4" s="1"/>
  <c r="C129" i="4"/>
  <c r="AQ41" i="3"/>
  <c r="AO41" i="3"/>
  <c r="Y49" i="5"/>
  <c r="V24" i="5"/>
  <c r="Z24" i="5" s="1"/>
  <c r="AA24" i="5" s="1"/>
  <c r="V31" i="5"/>
  <c r="Z31" i="5" s="1"/>
  <c r="AA31" i="5" s="1"/>
  <c r="AA32" i="5" s="1"/>
  <c r="V37" i="5"/>
  <c r="Z37" i="5" s="1"/>
  <c r="AA37" i="5" s="1"/>
  <c r="X37" i="5"/>
  <c r="Y37" i="5" s="1"/>
  <c r="AT49" i="5"/>
  <c r="BE49" i="5"/>
  <c r="AS49" i="5"/>
  <c r="BL29" i="5"/>
  <c r="AX45" i="3"/>
  <c r="AY45" i="3"/>
  <c r="BA44" i="3"/>
  <c r="E168" i="4" s="1"/>
  <c r="G168" i="4" s="1"/>
  <c r="H168" i="4" s="1"/>
  <c r="AP33" i="3"/>
  <c r="E126" i="4" s="1"/>
  <c r="G126" i="4" s="1"/>
  <c r="H126" i="4" s="1"/>
  <c r="BF21" i="5"/>
  <c r="BJ21" i="5" s="1"/>
  <c r="BG21" i="5"/>
  <c r="AE59" i="1"/>
  <c r="AQ58" i="1"/>
  <c r="AI21" i="5"/>
  <c r="AM21" i="5" s="1"/>
  <c r="AN21" i="5" s="1"/>
  <c r="AJ49" i="5"/>
  <c r="AH49" i="5"/>
  <c r="AK49" i="5" s="1"/>
  <c r="AT37" i="5"/>
  <c r="BE37" i="5"/>
  <c r="AS37" i="5"/>
  <c r="T25" i="3"/>
  <c r="E51" i="4" s="1"/>
  <c r="G51" i="4" s="1"/>
  <c r="H51" i="4" s="1"/>
  <c r="C133" i="4"/>
  <c r="AO45" i="3"/>
  <c r="AP45" i="3" s="1"/>
  <c r="E133" i="4" s="1"/>
  <c r="G133" i="4" s="1"/>
  <c r="H133" i="4" s="1"/>
  <c r="AQ45" i="3"/>
  <c r="AW47" i="3"/>
  <c r="AN47" i="3"/>
  <c r="AM47" i="3"/>
  <c r="AE41" i="3"/>
  <c r="E93" i="4" s="1"/>
  <c r="G93" i="4" s="1"/>
  <c r="H93" i="4" s="1"/>
  <c r="D93" i="4"/>
  <c r="AG41" i="3"/>
  <c r="AH41" i="3" s="1"/>
  <c r="F93" i="4" s="1"/>
  <c r="AM14" i="3"/>
  <c r="AW14" i="3"/>
  <c r="AN14" i="3"/>
  <c r="AF14" i="3"/>
  <c r="AD14" i="3"/>
  <c r="AE14" i="3" s="1"/>
  <c r="E81" i="4" s="1"/>
  <c r="G81" i="4" s="1"/>
  <c r="H81" i="4" s="1"/>
  <c r="C81" i="4"/>
  <c r="AU16" i="5"/>
  <c r="AX16" i="5" s="1"/>
  <c r="AW16" i="5"/>
  <c r="BG17" i="5"/>
  <c r="BF17" i="5"/>
  <c r="AL17" i="5"/>
  <c r="AE18" i="1"/>
  <c r="AE19" i="1" s="1"/>
  <c r="AU17" i="5"/>
  <c r="AW17" i="5"/>
  <c r="BL14" i="5"/>
  <c r="AL16" i="5"/>
  <c r="BG16" i="5"/>
  <c r="BF16" i="5"/>
  <c r="AQ16" i="1"/>
  <c r="T14" i="3"/>
  <c r="E45" i="4" s="1"/>
  <c r="G45" i="4" s="1"/>
  <c r="H45" i="4" s="1"/>
  <c r="D45" i="4"/>
  <c r="V14" i="3"/>
  <c r="W14" i="3" s="1"/>
  <c r="F45" i="4" s="1"/>
  <c r="BA11" i="3"/>
  <c r="E150" i="4" s="1"/>
  <c r="G150" i="4" s="1"/>
  <c r="H150" i="4" s="1"/>
  <c r="BC11" i="3"/>
  <c r="BD11" i="3" s="1"/>
  <c r="F150" i="4" s="1"/>
  <c r="D150" i="4"/>
  <c r="AW11" i="5"/>
  <c r="AU11" i="5"/>
  <c r="AX11" i="5" s="1"/>
  <c r="AL12" i="5"/>
  <c r="BG11" i="5"/>
  <c r="BF11" i="5"/>
  <c r="AI12" i="5"/>
  <c r="AM12" i="5" s="1"/>
  <c r="AN12" i="5" s="1"/>
  <c r="AL13" i="5"/>
  <c r="J20" i="3"/>
  <c r="AM13" i="3"/>
  <c r="AW13" i="3"/>
  <c r="AN13" i="3"/>
  <c r="AF13" i="3"/>
  <c r="AD13" i="3"/>
  <c r="C80" i="4"/>
  <c r="V13" i="3"/>
  <c r="W13" i="3" s="1"/>
  <c r="F44" i="4" s="1"/>
  <c r="D44" i="4"/>
  <c r="AY55" i="3"/>
  <c r="AX55" i="3"/>
  <c r="T64" i="3"/>
  <c r="E70" i="4" s="1"/>
  <c r="G70" i="4" s="1"/>
  <c r="H70" i="4" s="1"/>
  <c r="D70" i="4"/>
  <c r="V64" i="3"/>
  <c r="W64" i="3" s="1"/>
  <c r="F70" i="4" s="1"/>
  <c r="BH30" i="5"/>
  <c r="BK30" i="5" s="1"/>
  <c r="BJ30" i="5"/>
  <c r="AA18" i="5"/>
  <c r="V54" i="5"/>
  <c r="Z54" i="5" s="1"/>
  <c r="AA54" i="5" s="1"/>
  <c r="AU13" i="5"/>
  <c r="AX13" i="5" s="1"/>
  <c r="AW13" i="5"/>
  <c r="C92" i="4"/>
  <c r="AD35" i="3"/>
  <c r="AF35" i="3"/>
  <c r="AF36" i="3" s="1"/>
  <c r="AO46" i="3"/>
  <c r="C134" i="4"/>
  <c r="AQ46" i="3"/>
  <c r="BF12" i="5"/>
  <c r="BG12" i="5"/>
  <c r="C138" i="4"/>
  <c r="AO55" i="3"/>
  <c r="AQ55" i="3"/>
  <c r="AF48" i="1"/>
  <c r="AG48" i="1" s="1"/>
  <c r="AQ48" i="1"/>
  <c r="AG55" i="3"/>
  <c r="AH55" i="3" s="1"/>
  <c r="F102" i="4" s="1"/>
  <c r="D102" i="4"/>
  <c r="J67" i="3"/>
  <c r="AI13" i="5"/>
  <c r="AM13" i="5" s="1"/>
  <c r="AN13" i="5" s="1"/>
  <c r="AW64" i="3"/>
  <c r="AM64" i="3"/>
  <c r="AN64" i="3"/>
  <c r="AV41" i="5"/>
  <c r="AZ41" i="5" s="1"/>
  <c r="BA41" i="5" s="1"/>
  <c r="AX41" i="5"/>
  <c r="AY41" i="5" s="1"/>
  <c r="BG13" i="5"/>
  <c r="BF13" i="5"/>
  <c r="AW12" i="5"/>
  <c r="AU12" i="5"/>
  <c r="AL40" i="5"/>
  <c r="AV25" i="5"/>
  <c r="AZ25" i="5" s="1"/>
  <c r="BA25" i="5" s="1"/>
  <c r="J37" i="3"/>
  <c r="J70" i="3"/>
  <c r="U36" i="3"/>
  <c r="N32" i="5"/>
  <c r="AT24" i="5"/>
  <c r="AU24" i="5" s="1"/>
  <c r="BE24" i="5"/>
  <c r="AS24" i="5"/>
  <c r="AW24" i="5" s="1"/>
  <c r="BF53" i="5"/>
  <c r="BG53" i="5"/>
  <c r="AW53" i="5"/>
  <c r="AU53" i="5"/>
  <c r="AW40" i="5"/>
  <c r="AU40" i="5"/>
  <c r="AX40" i="5" s="1"/>
  <c r="AQ12" i="3"/>
  <c r="C115" i="4"/>
  <c r="AO12" i="3"/>
  <c r="U59" i="3"/>
  <c r="U60" i="3" s="1"/>
  <c r="V35" i="3"/>
  <c r="W35" i="3" s="1"/>
  <c r="F56" i="4" s="1"/>
  <c r="D56" i="4"/>
  <c r="AY30" i="5"/>
  <c r="AX12" i="3"/>
  <c r="AY12" i="3"/>
  <c r="AM66" i="1"/>
  <c r="AE30" i="1"/>
  <c r="AE67" i="1"/>
  <c r="AE68" i="1" s="1"/>
  <c r="AI39" i="5"/>
  <c r="AM39" i="5" s="1"/>
  <c r="AN39" i="5" s="1"/>
  <c r="AK39" i="5"/>
  <c r="AL39" i="5" s="1"/>
  <c r="Y31" i="5"/>
  <c r="BG40" i="5"/>
  <c r="BF40" i="5"/>
  <c r="AU39" i="5"/>
  <c r="AX39" i="5" s="1"/>
  <c r="AW39" i="5"/>
  <c r="J51" i="3"/>
  <c r="J52" i="3" s="1"/>
  <c r="AG46" i="3"/>
  <c r="AH46" i="3" s="1"/>
  <c r="F98" i="4" s="1"/>
  <c r="D98" i="4"/>
  <c r="C154" i="4"/>
  <c r="BB15" i="3"/>
  <c r="BF15" i="3" s="1"/>
  <c r="AZ15" i="3"/>
  <c r="BH41" i="5"/>
  <c r="BK41" i="5" s="1"/>
  <c r="BJ41" i="5"/>
  <c r="AH24" i="5"/>
  <c r="AK24" i="5" s="1"/>
  <c r="AL24" i="5" s="1"/>
  <c r="BG39" i="5"/>
  <c r="BF39" i="5"/>
  <c r="BC8" i="3"/>
  <c r="BD8" i="3" s="1"/>
  <c r="F147" i="4" s="1"/>
  <c r="D147" i="4"/>
  <c r="BA65" i="3"/>
  <c r="E179" i="4" s="1"/>
  <c r="G179" i="4" s="1"/>
  <c r="H179" i="4" s="1"/>
  <c r="D179" i="4"/>
  <c r="BC65" i="3"/>
  <c r="BD65" i="3" s="1"/>
  <c r="F179" i="4" s="1"/>
  <c r="BF8" i="3"/>
  <c r="AH31" i="5"/>
  <c r="AJ31" i="5"/>
  <c r="AE50" i="1"/>
  <c r="AE51" i="1" s="1"/>
  <c r="AE52" i="1" s="1"/>
  <c r="AM50" i="1"/>
  <c r="AM51" i="1" s="1"/>
  <c r="AM52" i="1" s="1"/>
  <c r="G72" i="1"/>
  <c r="G87" i="1" s="1"/>
  <c r="BF54" i="5"/>
  <c r="BG54" i="5"/>
  <c r="AX46" i="3"/>
  <c r="AY46" i="3"/>
  <c r="AU54" i="5"/>
  <c r="AX54" i="5" s="1"/>
  <c r="AW54" i="5"/>
  <c r="AG12" i="3"/>
  <c r="AH12" i="3" s="1"/>
  <c r="F79" i="4" s="1"/>
  <c r="D79" i="4"/>
  <c r="D118" i="4"/>
  <c r="AR15" i="3"/>
  <c r="AS15" i="3" s="1"/>
  <c r="F118" i="4" s="1"/>
  <c r="D125" i="4"/>
  <c r="AR27" i="3"/>
  <c r="AS27" i="3" s="1"/>
  <c r="F125" i="4" s="1"/>
  <c r="BF65" i="3"/>
  <c r="BE31" i="5"/>
  <c r="AT31" i="5"/>
  <c r="AS31" i="5"/>
  <c r="AZ27" i="3"/>
  <c r="C161" i="4"/>
  <c r="AE55" i="3"/>
  <c r="E102" i="4" s="1"/>
  <c r="G102" i="4" s="1"/>
  <c r="H102" i="4" s="1"/>
  <c r="AN35" i="3"/>
  <c r="AW35" i="3"/>
  <c r="AM35" i="3"/>
  <c r="BI23" i="5"/>
  <c r="BM23" i="5" s="1"/>
  <c r="BN23" i="5" s="1"/>
  <c r="C106" i="4"/>
  <c r="AD64" i="3"/>
  <c r="AE64" i="3" s="1"/>
  <c r="E106" i="4" s="1"/>
  <c r="G106" i="4" s="1"/>
  <c r="H106" i="4" s="1"/>
  <c r="AF64" i="3"/>
  <c r="J60" i="3"/>
  <c r="AA44" i="5" l="1"/>
  <c r="AH48" i="3"/>
  <c r="F100" i="4" s="1"/>
  <c r="AV23" i="5"/>
  <c r="AZ23" i="5" s="1"/>
  <c r="BA23" i="5" s="1"/>
  <c r="AI48" i="5"/>
  <c r="AM48" i="5" s="1"/>
  <c r="AN48" i="5" s="1"/>
  <c r="BP23" i="5"/>
  <c r="BL23" i="5"/>
  <c r="BG8" i="5"/>
  <c r="BF8" i="5"/>
  <c r="AA26" i="5"/>
  <c r="AU8" i="5"/>
  <c r="AX8" i="5" s="1"/>
  <c r="AW8" i="5"/>
  <c r="AU10" i="5"/>
  <c r="AW10" i="5"/>
  <c r="AI8" i="5"/>
  <c r="AM8" i="5" s="1"/>
  <c r="AN8" i="5" s="1"/>
  <c r="AN18" i="5" s="1"/>
  <c r="AK8" i="5"/>
  <c r="AL8" i="5" s="1"/>
  <c r="AK10" i="5"/>
  <c r="AL10" i="5" s="1"/>
  <c r="AI10" i="5"/>
  <c r="AM10" i="5" s="1"/>
  <c r="AN10" i="5" s="1"/>
  <c r="BG10" i="5"/>
  <c r="BF10" i="5"/>
  <c r="AA50" i="5"/>
  <c r="AL48" i="5"/>
  <c r="BG48" i="5"/>
  <c r="BF48" i="5"/>
  <c r="AU48" i="5"/>
  <c r="AX48" i="5" s="1"/>
  <c r="AW48" i="5"/>
  <c r="D100" i="4"/>
  <c r="AV9" i="5"/>
  <c r="AZ9" i="5" s="1"/>
  <c r="BA9" i="5" s="1"/>
  <c r="BA16" i="3"/>
  <c r="E155" i="4" s="1"/>
  <c r="G155" i="4" s="1"/>
  <c r="H155" i="4" s="1"/>
  <c r="D155" i="4"/>
  <c r="BC16" i="3"/>
  <c r="BD16" i="3" s="1"/>
  <c r="F155" i="4" s="1"/>
  <c r="AV38" i="5"/>
  <c r="AZ38" i="5" s="1"/>
  <c r="BA38" i="5" s="1"/>
  <c r="AL47" i="5"/>
  <c r="C122" i="4"/>
  <c r="AO24" i="3"/>
  <c r="AV43" i="5"/>
  <c r="AZ43" i="5" s="1"/>
  <c r="BA43" i="5" s="1"/>
  <c r="AG26" i="3"/>
  <c r="AH26" i="3" s="1"/>
  <c r="F88" i="4" s="1"/>
  <c r="D88" i="4"/>
  <c r="AI47" i="5"/>
  <c r="AM47" i="5" s="1"/>
  <c r="AN47" i="5" s="1"/>
  <c r="AW47" i="5"/>
  <c r="AU47" i="5"/>
  <c r="AX47" i="5" s="1"/>
  <c r="AV47" i="5"/>
  <c r="AZ47" i="5" s="1"/>
  <c r="BA47" i="5" s="1"/>
  <c r="AY9" i="5"/>
  <c r="AY43" i="5"/>
  <c r="BG47" i="5"/>
  <c r="BF47" i="5"/>
  <c r="AG10" i="3"/>
  <c r="AH10" i="3" s="1"/>
  <c r="F77" i="4" s="1"/>
  <c r="D77" i="4"/>
  <c r="AE10" i="3"/>
  <c r="E77" i="4" s="1"/>
  <c r="G77" i="4" s="1"/>
  <c r="H77" i="4" s="1"/>
  <c r="BH9" i="5"/>
  <c r="BK9" i="5" s="1"/>
  <c r="BJ9" i="5"/>
  <c r="BI36" i="5"/>
  <c r="BM36" i="5" s="1"/>
  <c r="BN36" i="5" s="1"/>
  <c r="BP36" i="5" s="1"/>
  <c r="AX34" i="3"/>
  <c r="AY34" i="3"/>
  <c r="AY10" i="3"/>
  <c r="AX10" i="3"/>
  <c r="C124" i="4"/>
  <c r="AO26" i="3"/>
  <c r="C127" i="4"/>
  <c r="AQ34" i="3"/>
  <c r="AO34" i="3"/>
  <c r="AP34" i="3" s="1"/>
  <c r="E127" i="4" s="1"/>
  <c r="G127" i="4" s="1"/>
  <c r="H127" i="4" s="1"/>
  <c r="D91" i="4"/>
  <c r="AG34" i="3"/>
  <c r="AH34" i="3" s="1"/>
  <c r="F91" i="4" s="1"/>
  <c r="AX26" i="3"/>
  <c r="BB26" i="3" s="1"/>
  <c r="BF26" i="3" s="1"/>
  <c r="AY26" i="3"/>
  <c r="AG24" i="3"/>
  <c r="AH24" i="3" s="1"/>
  <c r="F86" i="4" s="1"/>
  <c r="D86" i="4"/>
  <c r="AE24" i="3"/>
  <c r="E86" i="4" s="1"/>
  <c r="G86" i="4" s="1"/>
  <c r="H86" i="4" s="1"/>
  <c r="AF50" i="3"/>
  <c r="AF51" i="3" s="1"/>
  <c r="AF52" i="3" s="1"/>
  <c r="C113" i="4"/>
  <c r="AO10" i="3"/>
  <c r="AQ10" i="3"/>
  <c r="AY24" i="3"/>
  <c r="AX24" i="3"/>
  <c r="BB24" i="3" s="1"/>
  <c r="BF24" i="3" s="1"/>
  <c r="BJ43" i="5"/>
  <c r="BH43" i="5"/>
  <c r="BK43" i="5" s="1"/>
  <c r="AI25" i="5"/>
  <c r="AM25" i="5" s="1"/>
  <c r="AN25" i="5" s="1"/>
  <c r="AM29" i="1"/>
  <c r="AQ28" i="1"/>
  <c r="AY49" i="3"/>
  <c r="AX49" i="3"/>
  <c r="AV21" i="5"/>
  <c r="AZ21" i="5" s="1"/>
  <c r="BA21" i="5" s="1"/>
  <c r="AW35" i="5"/>
  <c r="AU35" i="5"/>
  <c r="AX35" i="5" s="1"/>
  <c r="BF35" i="5"/>
  <c r="BG35" i="5"/>
  <c r="AY57" i="3"/>
  <c r="AX57" i="3"/>
  <c r="D94" i="4"/>
  <c r="AG42" i="3"/>
  <c r="AH42" i="3" s="1"/>
  <c r="F94" i="4" s="1"/>
  <c r="AE49" i="3"/>
  <c r="E101" i="4" s="1"/>
  <c r="G101" i="4" s="1"/>
  <c r="H101" i="4" s="1"/>
  <c r="AG49" i="3"/>
  <c r="AH49" i="3" s="1"/>
  <c r="F101" i="4" s="1"/>
  <c r="D101" i="4"/>
  <c r="BL36" i="5"/>
  <c r="C140" i="4"/>
  <c r="AO57" i="3"/>
  <c r="AQ57" i="3"/>
  <c r="AQ58" i="3" s="1"/>
  <c r="AQ59" i="3" s="1"/>
  <c r="AQ60" i="3" s="1"/>
  <c r="AP57" i="3"/>
  <c r="E140" i="4" s="1"/>
  <c r="G140" i="4" s="1"/>
  <c r="H140" i="4" s="1"/>
  <c r="AN56" i="5"/>
  <c r="AI22" i="5"/>
  <c r="AM22" i="5" s="1"/>
  <c r="AN22" i="5" s="1"/>
  <c r="AY38" i="5"/>
  <c r="AI35" i="5"/>
  <c r="AM35" i="5" s="1"/>
  <c r="AN35" i="5" s="1"/>
  <c r="AO49" i="3"/>
  <c r="AQ49" i="3"/>
  <c r="C137" i="4"/>
  <c r="AE57" i="3"/>
  <c r="E104" i="4" s="1"/>
  <c r="G104" i="4" s="1"/>
  <c r="H104" i="4" s="1"/>
  <c r="AG57" i="3"/>
  <c r="AH57" i="3" s="1"/>
  <c r="F104" i="4" s="1"/>
  <c r="D104" i="4"/>
  <c r="C130" i="4"/>
  <c r="AO42" i="3"/>
  <c r="AP42" i="3" s="1"/>
  <c r="E130" i="4" s="1"/>
  <c r="G130" i="4" s="1"/>
  <c r="H130" i="4" s="1"/>
  <c r="AQ42" i="3"/>
  <c r="AV55" i="5"/>
  <c r="AZ55" i="5" s="1"/>
  <c r="BA55" i="5" s="1"/>
  <c r="AL35" i="5"/>
  <c r="AY42" i="3"/>
  <c r="AX42" i="3"/>
  <c r="AE70" i="1"/>
  <c r="AQ18" i="1"/>
  <c r="AI37" i="5"/>
  <c r="AM37" i="5" s="1"/>
  <c r="AN37" i="5" s="1"/>
  <c r="AP23" i="3"/>
  <c r="E121" i="4" s="1"/>
  <c r="G121" i="4" s="1"/>
  <c r="H121" i="4" s="1"/>
  <c r="D121" i="4"/>
  <c r="AR23" i="3"/>
  <c r="AS23" i="3" s="1"/>
  <c r="F121" i="4" s="1"/>
  <c r="AV54" i="5"/>
  <c r="AZ54" i="5" s="1"/>
  <c r="BA54" i="5" s="1"/>
  <c r="AV11" i="5"/>
  <c r="AZ11" i="5" s="1"/>
  <c r="BA11" i="5" s="1"/>
  <c r="AL37" i="5"/>
  <c r="AU22" i="5"/>
  <c r="AX22" i="5" s="1"/>
  <c r="AY22" i="5" s="1"/>
  <c r="AX42" i="5"/>
  <c r="AY42" i="5" s="1"/>
  <c r="AV42" i="5"/>
  <c r="AZ42" i="5" s="1"/>
  <c r="BA42" i="5" s="1"/>
  <c r="BF22" i="5"/>
  <c r="BJ22" i="5" s="1"/>
  <c r="BG22" i="5"/>
  <c r="N58" i="5"/>
  <c r="N73" i="5" s="1"/>
  <c r="C157" i="4"/>
  <c r="AZ23" i="3"/>
  <c r="BA23" i="3" s="1"/>
  <c r="E157" i="4" s="1"/>
  <c r="G157" i="4" s="1"/>
  <c r="H157" i="4" s="1"/>
  <c r="BH38" i="5"/>
  <c r="BJ38" i="5"/>
  <c r="AV13" i="5"/>
  <c r="AZ13" i="5" s="1"/>
  <c r="BA13" i="5" s="1"/>
  <c r="AF18" i="3"/>
  <c r="AF19" i="3" s="1"/>
  <c r="AF20" i="3" s="1"/>
  <c r="AI49" i="5"/>
  <c r="AM49" i="5" s="1"/>
  <c r="AN49" i="5" s="1"/>
  <c r="BC48" i="3"/>
  <c r="BD48" i="3" s="1"/>
  <c r="F172" i="4" s="1"/>
  <c r="D172" i="4"/>
  <c r="AY25" i="5"/>
  <c r="BJ42" i="5"/>
  <c r="BH42" i="5"/>
  <c r="BA48" i="3"/>
  <c r="E172" i="4" s="1"/>
  <c r="G172" i="4" s="1"/>
  <c r="H172" i="4" s="1"/>
  <c r="J71" i="3"/>
  <c r="J72" i="3" s="1"/>
  <c r="U67" i="3"/>
  <c r="U68" i="3" s="1"/>
  <c r="U70" i="3"/>
  <c r="D69" i="4"/>
  <c r="V63" i="3"/>
  <c r="W63" i="3" s="1"/>
  <c r="F69" i="4" s="1"/>
  <c r="AN63" i="3"/>
  <c r="AW63" i="3"/>
  <c r="AM63" i="3"/>
  <c r="C105" i="4"/>
  <c r="AD63" i="3"/>
  <c r="AE63" i="3" s="1"/>
  <c r="E105" i="4" s="1"/>
  <c r="G105" i="4" s="1"/>
  <c r="H105" i="4" s="1"/>
  <c r="AF63" i="3"/>
  <c r="AF66" i="3" s="1"/>
  <c r="T63" i="3"/>
  <c r="E69" i="4" s="1"/>
  <c r="G69" i="4" s="1"/>
  <c r="H69" i="4" s="1"/>
  <c r="H72" i="4" s="1"/>
  <c r="AY55" i="5"/>
  <c r="BH55" i="5"/>
  <c r="BK55" i="5" s="1"/>
  <c r="BJ55" i="5"/>
  <c r="C123" i="4"/>
  <c r="AO25" i="3"/>
  <c r="AP25" i="3" s="1"/>
  <c r="E123" i="4" s="1"/>
  <c r="G123" i="4" s="1"/>
  <c r="H123" i="4" s="1"/>
  <c r="AE60" i="1"/>
  <c r="AQ60" i="1" s="1"/>
  <c r="AQ59" i="1"/>
  <c r="AU49" i="5"/>
  <c r="AX49" i="5" s="1"/>
  <c r="AW49" i="5"/>
  <c r="D162" i="4"/>
  <c r="BC33" i="3"/>
  <c r="BD33" i="3" s="1"/>
  <c r="F162" i="4" s="1"/>
  <c r="AU37" i="5"/>
  <c r="AX37" i="5" s="1"/>
  <c r="AW37" i="5"/>
  <c r="BH21" i="5"/>
  <c r="BK21" i="5" s="1"/>
  <c r="BL21" i="5" s="1"/>
  <c r="AX25" i="3"/>
  <c r="BB25" i="3" s="1"/>
  <c r="AY25" i="3"/>
  <c r="AM70" i="1"/>
  <c r="D133" i="4"/>
  <c r="AR45" i="3"/>
  <c r="AS45" i="3" s="1"/>
  <c r="F133" i="4" s="1"/>
  <c r="BG25" i="5"/>
  <c r="BF25" i="5"/>
  <c r="BJ25" i="5" s="1"/>
  <c r="AV40" i="5"/>
  <c r="AZ40" i="5" s="1"/>
  <c r="BA40" i="5" s="1"/>
  <c r="AX47" i="3"/>
  <c r="AY47" i="3"/>
  <c r="BF49" i="5"/>
  <c r="BG49" i="5"/>
  <c r="BG37" i="5"/>
  <c r="BF37" i="5"/>
  <c r="AE47" i="3"/>
  <c r="E99" i="4" s="1"/>
  <c r="G99" i="4" s="1"/>
  <c r="H99" i="4" s="1"/>
  <c r="D99" i="4"/>
  <c r="AG47" i="3"/>
  <c r="AH47" i="3" s="1"/>
  <c r="F99" i="4" s="1"/>
  <c r="AY39" i="5"/>
  <c r="AL49" i="5"/>
  <c r="BL30" i="5"/>
  <c r="AE25" i="3"/>
  <c r="E87" i="4" s="1"/>
  <c r="G87" i="4" s="1"/>
  <c r="H87" i="4" s="1"/>
  <c r="D87" i="4"/>
  <c r="AG25" i="3"/>
  <c r="AH25" i="3" s="1"/>
  <c r="F87" i="4" s="1"/>
  <c r="AZ45" i="3"/>
  <c r="BA45" i="3" s="1"/>
  <c r="E169" i="4" s="1"/>
  <c r="G169" i="4" s="1"/>
  <c r="H169" i="4" s="1"/>
  <c r="BB45" i="3"/>
  <c r="C169" i="4"/>
  <c r="AP41" i="3"/>
  <c r="E129" i="4" s="1"/>
  <c r="G129" i="4" s="1"/>
  <c r="H129" i="4" s="1"/>
  <c r="AR41" i="3"/>
  <c r="AS41" i="3" s="1"/>
  <c r="F129" i="4" s="1"/>
  <c r="D129" i="4"/>
  <c r="AZ41" i="3"/>
  <c r="BA41" i="3" s="1"/>
  <c r="E165" i="4" s="1"/>
  <c r="G165" i="4" s="1"/>
  <c r="H165" i="4" s="1"/>
  <c r="C165" i="4"/>
  <c r="BB41" i="3"/>
  <c r="BF41" i="3" s="1"/>
  <c r="AF29" i="3"/>
  <c r="BL41" i="5"/>
  <c r="AO47" i="3"/>
  <c r="C135" i="4"/>
  <c r="AQ47" i="3"/>
  <c r="BA33" i="3"/>
  <c r="E162" i="4" s="1"/>
  <c r="G162" i="4" s="1"/>
  <c r="H162" i="4" s="1"/>
  <c r="D81" i="4"/>
  <c r="AG14" i="3"/>
  <c r="AH14" i="3" s="1"/>
  <c r="F81" i="4" s="1"/>
  <c r="BH17" i="5"/>
  <c r="BK17" i="5" s="1"/>
  <c r="BJ17" i="5"/>
  <c r="BJ16" i="5"/>
  <c r="BH16" i="5"/>
  <c r="BK16" i="5" s="1"/>
  <c r="AO14" i="3"/>
  <c r="AP14" i="3" s="1"/>
  <c r="E117" i="4" s="1"/>
  <c r="G117" i="4" s="1"/>
  <c r="H117" i="4" s="1"/>
  <c r="AQ14" i="3"/>
  <c r="C117" i="4"/>
  <c r="AV16" i="5"/>
  <c r="AZ16" i="5" s="1"/>
  <c r="BA16" i="5" s="1"/>
  <c r="AY14" i="3"/>
  <c r="AX14" i="3"/>
  <c r="AV17" i="5"/>
  <c r="AZ17" i="5" s="1"/>
  <c r="BA17" i="5" s="1"/>
  <c r="AX17" i="5"/>
  <c r="AY17" i="5" s="1"/>
  <c r="AY16" i="5"/>
  <c r="AY11" i="5"/>
  <c r="BH11" i="5"/>
  <c r="BK11" i="5" s="1"/>
  <c r="BJ11" i="5"/>
  <c r="AO13" i="3"/>
  <c r="AQ13" i="3"/>
  <c r="C116" i="4"/>
  <c r="AQ19" i="1"/>
  <c r="AX13" i="3"/>
  <c r="AY13" i="3"/>
  <c r="F72" i="4"/>
  <c r="AE13" i="3"/>
  <c r="E80" i="4" s="1"/>
  <c r="G80" i="4" s="1"/>
  <c r="H80" i="4" s="1"/>
  <c r="D80" i="4"/>
  <c r="AG13" i="3"/>
  <c r="AH13" i="3" s="1"/>
  <c r="F80" i="4" s="1"/>
  <c r="AY13" i="5"/>
  <c r="AO35" i="3"/>
  <c r="AP35" i="3" s="1"/>
  <c r="E128" i="4" s="1"/>
  <c r="G128" i="4" s="1"/>
  <c r="H128" i="4" s="1"/>
  <c r="C128" i="4"/>
  <c r="AQ35" i="3"/>
  <c r="D161" i="4"/>
  <c r="BC27" i="3"/>
  <c r="BD27" i="3" s="1"/>
  <c r="F161" i="4" s="1"/>
  <c r="BH39" i="5"/>
  <c r="BK39" i="5" s="1"/>
  <c r="BJ39" i="5"/>
  <c r="AV24" i="5"/>
  <c r="AZ24" i="5" s="1"/>
  <c r="BA24" i="5" s="1"/>
  <c r="AX24" i="5"/>
  <c r="AY24" i="5" s="1"/>
  <c r="J38" i="3"/>
  <c r="BH12" i="5"/>
  <c r="BK12" i="5" s="1"/>
  <c r="BJ12" i="5"/>
  <c r="AE35" i="3"/>
  <c r="E92" i="4" s="1"/>
  <c r="G92" i="4" s="1"/>
  <c r="H92" i="4" s="1"/>
  <c r="D92" i="4"/>
  <c r="AG35" i="3"/>
  <c r="AH35" i="3" s="1"/>
  <c r="F92" i="4" s="1"/>
  <c r="BI30" i="5"/>
  <c r="BM30" i="5" s="1"/>
  <c r="BN30" i="5" s="1"/>
  <c r="C174" i="4"/>
  <c r="AZ55" i="3"/>
  <c r="BB55" i="3"/>
  <c r="BF55" i="3" s="1"/>
  <c r="BC15" i="3"/>
  <c r="BD15" i="3" s="1"/>
  <c r="F154" i="4" s="1"/>
  <c r="D154" i="4"/>
  <c r="AV53" i="5"/>
  <c r="AZ53" i="5" s="1"/>
  <c r="BA53" i="5" s="1"/>
  <c r="AX53" i="5"/>
  <c r="AY53" i="5" s="1"/>
  <c r="BA27" i="3"/>
  <c r="E161" i="4" s="1"/>
  <c r="G161" i="4" s="1"/>
  <c r="H161" i="4" s="1"/>
  <c r="U20" i="3"/>
  <c r="AM20" i="1"/>
  <c r="AI24" i="5"/>
  <c r="AM24" i="5" s="1"/>
  <c r="AN24" i="5" s="1"/>
  <c r="C142" i="4"/>
  <c r="AO64" i="3"/>
  <c r="AP64" i="3" s="1"/>
  <c r="E142" i="4" s="1"/>
  <c r="G142" i="4" s="1"/>
  <c r="H142" i="4" s="1"/>
  <c r="AQ64" i="3"/>
  <c r="AU31" i="5"/>
  <c r="AX31" i="5" s="1"/>
  <c r="AW31" i="5"/>
  <c r="AY54" i="5"/>
  <c r="AI31" i="5"/>
  <c r="AM31" i="5" s="1"/>
  <c r="AN31" i="5" s="1"/>
  <c r="AK31" i="5"/>
  <c r="AL31" i="5" s="1"/>
  <c r="BH40" i="5"/>
  <c r="BK40" i="5" s="1"/>
  <c r="BJ40" i="5"/>
  <c r="U37" i="3"/>
  <c r="AV12" i="5"/>
  <c r="AZ12" i="5" s="1"/>
  <c r="BA12" i="5" s="1"/>
  <c r="AX12" i="5"/>
  <c r="AY12" i="5" s="1"/>
  <c r="AX64" i="3"/>
  <c r="AY64" i="3"/>
  <c r="J68" i="3"/>
  <c r="BG31" i="5"/>
  <c r="BF31" i="5"/>
  <c r="C170" i="4"/>
  <c r="BB46" i="3"/>
  <c r="BF46" i="3" s="1"/>
  <c r="AZ46" i="3"/>
  <c r="BA15" i="3"/>
  <c r="E154" i="4" s="1"/>
  <c r="G154" i="4" s="1"/>
  <c r="H154" i="4" s="1"/>
  <c r="AM67" i="1"/>
  <c r="AQ67" i="1" s="1"/>
  <c r="AP12" i="3"/>
  <c r="E115" i="4" s="1"/>
  <c r="G115" i="4" s="1"/>
  <c r="H115" i="4" s="1"/>
  <c r="AR12" i="3"/>
  <c r="AS12" i="3" s="1"/>
  <c r="F115" i="4" s="1"/>
  <c r="D115" i="4"/>
  <c r="BH53" i="5"/>
  <c r="BK53" i="5" s="1"/>
  <c r="BJ53" i="5"/>
  <c r="AQ50" i="1"/>
  <c r="AP55" i="3"/>
  <c r="E138" i="4" s="1"/>
  <c r="G138" i="4" s="1"/>
  <c r="H138" i="4" s="1"/>
  <c r="AR55" i="3"/>
  <c r="AS55" i="3" s="1"/>
  <c r="F138" i="4" s="1"/>
  <c r="D138" i="4"/>
  <c r="AA56" i="5"/>
  <c r="D106" i="4"/>
  <c r="AG64" i="3"/>
  <c r="AH64" i="3" s="1"/>
  <c r="F106" i="4" s="1"/>
  <c r="AE20" i="1"/>
  <c r="AE71" i="1"/>
  <c r="BH54" i="5"/>
  <c r="BK54" i="5" s="1"/>
  <c r="BJ54" i="5"/>
  <c r="AQ52" i="1"/>
  <c r="AQ51" i="1"/>
  <c r="AF59" i="3"/>
  <c r="AF60" i="3" s="1"/>
  <c r="C151" i="4"/>
  <c r="AZ12" i="3"/>
  <c r="BB12" i="3"/>
  <c r="BJ13" i="5"/>
  <c r="BH13" i="5"/>
  <c r="BK13" i="5" s="1"/>
  <c r="AP46" i="3"/>
  <c r="E134" i="4" s="1"/>
  <c r="G134" i="4" s="1"/>
  <c r="H134" i="4" s="1"/>
  <c r="AR46" i="3"/>
  <c r="AS46" i="3" s="1"/>
  <c r="F134" i="4" s="1"/>
  <c r="D134" i="4"/>
  <c r="AX35" i="3"/>
  <c r="AY35" i="3"/>
  <c r="BI41" i="5"/>
  <c r="BM41" i="5" s="1"/>
  <c r="BN41" i="5" s="1"/>
  <c r="BP41" i="5" s="1"/>
  <c r="AV39" i="5"/>
  <c r="AZ39" i="5" s="1"/>
  <c r="BA39" i="5" s="1"/>
  <c r="AQ66" i="1"/>
  <c r="AY40" i="5"/>
  <c r="BG24" i="5"/>
  <c r="BH24" i="5" s="1"/>
  <c r="BF24" i="5"/>
  <c r="BJ24" i="5" s="1"/>
  <c r="AF37" i="3"/>
  <c r="AF38" i="3" s="1"/>
  <c r="AV8" i="5" l="1"/>
  <c r="AZ8" i="5" s="1"/>
  <c r="BA8" i="5" s="1"/>
  <c r="AV22" i="5"/>
  <c r="AZ22" i="5" s="1"/>
  <c r="BA22" i="5" s="1"/>
  <c r="BA26" i="5" s="1"/>
  <c r="AY47" i="5"/>
  <c r="BH10" i="5"/>
  <c r="BJ10" i="5"/>
  <c r="AY8" i="5"/>
  <c r="AX10" i="5"/>
  <c r="AY10" i="5" s="1"/>
  <c r="AV10" i="5"/>
  <c r="AZ10" i="5" s="1"/>
  <c r="BA10" i="5" s="1"/>
  <c r="AA58" i="5"/>
  <c r="AA73" i="5" s="1"/>
  <c r="BH8" i="5"/>
  <c r="BK8" i="5" s="1"/>
  <c r="BJ8" i="5"/>
  <c r="AV48" i="5"/>
  <c r="AZ48" i="5" s="1"/>
  <c r="BA48" i="5" s="1"/>
  <c r="AY48" i="5"/>
  <c r="BJ48" i="5"/>
  <c r="BH48" i="5"/>
  <c r="BK48" i="5" s="1"/>
  <c r="AN44" i="5"/>
  <c r="AQ50" i="3"/>
  <c r="BL9" i="5"/>
  <c r="AQ20" i="1"/>
  <c r="AP24" i="3"/>
  <c r="E122" i="4" s="1"/>
  <c r="G122" i="4" s="1"/>
  <c r="H122" i="4" s="1"/>
  <c r="AR24" i="3"/>
  <c r="AS24" i="3" s="1"/>
  <c r="F122" i="4" s="1"/>
  <c r="D122" i="4"/>
  <c r="AQ70" i="1"/>
  <c r="AY35" i="5"/>
  <c r="BI43" i="5"/>
  <c r="BM43" i="5" s="1"/>
  <c r="BN43" i="5" s="1"/>
  <c r="BP43" i="5" s="1"/>
  <c r="BB10" i="3"/>
  <c r="BF10" i="3" s="1"/>
  <c r="C149" i="4"/>
  <c r="AZ10" i="3"/>
  <c r="AR34" i="3"/>
  <c r="AS34" i="3" s="1"/>
  <c r="F127" i="4" s="1"/>
  <c r="D127" i="4"/>
  <c r="C163" i="4"/>
  <c r="AZ34" i="3"/>
  <c r="BB34" i="3"/>
  <c r="BF34" i="3" s="1"/>
  <c r="AM30" i="1"/>
  <c r="AQ30" i="1" s="1"/>
  <c r="AQ29" i="1"/>
  <c r="AP10" i="3"/>
  <c r="E113" i="4" s="1"/>
  <c r="G113" i="4" s="1"/>
  <c r="H113" i="4" s="1"/>
  <c r="D113" i="4"/>
  <c r="AR10" i="3"/>
  <c r="AS10" i="3" s="1"/>
  <c r="F113" i="4" s="1"/>
  <c r="BL43" i="5"/>
  <c r="AR26" i="3"/>
  <c r="AS26" i="3" s="1"/>
  <c r="F124" i="4" s="1"/>
  <c r="D124" i="4"/>
  <c r="AN50" i="5"/>
  <c r="BH47" i="5"/>
  <c r="BK47" i="5" s="1"/>
  <c r="BJ47" i="5"/>
  <c r="C160" i="4"/>
  <c r="AZ26" i="3"/>
  <c r="AQ18" i="3"/>
  <c r="AQ19" i="3" s="1"/>
  <c r="AQ20" i="3" s="1"/>
  <c r="C158" i="4"/>
  <c r="AZ24" i="3"/>
  <c r="AP26" i="3"/>
  <c r="E124" i="4" s="1"/>
  <c r="G124" i="4" s="1"/>
  <c r="H124" i="4" s="1"/>
  <c r="BI9" i="5"/>
  <c r="BM9" i="5" s="1"/>
  <c r="BN9" i="5" s="1"/>
  <c r="BP9" i="5" s="1"/>
  <c r="AF67" i="3"/>
  <c r="AF68" i="3" s="1"/>
  <c r="AF70" i="3"/>
  <c r="BB42" i="3"/>
  <c r="BF42" i="3" s="1"/>
  <c r="C166" i="4"/>
  <c r="AZ42" i="3"/>
  <c r="AV35" i="5"/>
  <c r="AZ35" i="5" s="1"/>
  <c r="BA35" i="5" s="1"/>
  <c r="U71" i="3"/>
  <c r="U72" i="3" s="1"/>
  <c r="U87" i="3" s="1"/>
  <c r="U88" i="3" s="1"/>
  <c r="U89" i="3" s="1"/>
  <c r="U90" i="3" s="1"/>
  <c r="D140" i="4"/>
  <c r="AR57" i="3"/>
  <c r="AS57" i="3" s="1"/>
  <c r="F140" i="4" s="1"/>
  <c r="AR49" i="3"/>
  <c r="AS49" i="3" s="1"/>
  <c r="F137" i="4" s="1"/>
  <c r="AP49" i="3"/>
  <c r="E137" i="4" s="1"/>
  <c r="G137" i="4" s="1"/>
  <c r="H137" i="4" s="1"/>
  <c r="D137" i="4"/>
  <c r="AZ57" i="3"/>
  <c r="C176" i="4"/>
  <c r="BB57" i="3"/>
  <c r="BF57" i="3" s="1"/>
  <c r="D130" i="4"/>
  <c r="AR42" i="3"/>
  <c r="AS42" i="3" s="1"/>
  <c r="F130" i="4" s="1"/>
  <c r="BJ35" i="5"/>
  <c r="BH35" i="5"/>
  <c r="BK35" i="5" s="1"/>
  <c r="AE72" i="1"/>
  <c r="AE87" i="1" s="1"/>
  <c r="AE88" i="1" s="1"/>
  <c r="AE89" i="1" s="1"/>
  <c r="AE90" i="1" s="1"/>
  <c r="BB49" i="3"/>
  <c r="BF49" i="3" s="1"/>
  <c r="C173" i="4"/>
  <c r="AZ49" i="3"/>
  <c r="BI11" i="5"/>
  <c r="BM11" i="5" s="1"/>
  <c r="BN11" i="5" s="1"/>
  <c r="BP11" i="5" s="1"/>
  <c r="BH22" i="5"/>
  <c r="BK22" i="5" s="1"/>
  <c r="BL22" i="5" s="1"/>
  <c r="BI53" i="5"/>
  <c r="BM53" i="5" s="1"/>
  <c r="BN53" i="5" s="1"/>
  <c r="BP53" i="5" s="1"/>
  <c r="BK38" i="5"/>
  <c r="BL38" i="5" s="1"/>
  <c r="BI38" i="5"/>
  <c r="BM38" i="5" s="1"/>
  <c r="BN38" i="5" s="1"/>
  <c r="BP38" i="5" s="1"/>
  <c r="BI55" i="5"/>
  <c r="BM55" i="5" s="1"/>
  <c r="BN55" i="5" s="1"/>
  <c r="BP55" i="5" s="1"/>
  <c r="BC23" i="3"/>
  <c r="BD23" i="3" s="1"/>
  <c r="F157" i="4" s="1"/>
  <c r="D157" i="4"/>
  <c r="BL11" i="5"/>
  <c r="BI42" i="5"/>
  <c r="BM42" i="5" s="1"/>
  <c r="BN42" i="5" s="1"/>
  <c r="BP42" i="5" s="1"/>
  <c r="BK42" i="5"/>
  <c r="BL42" i="5" s="1"/>
  <c r="AY63" i="3"/>
  <c r="AX63" i="3"/>
  <c r="D105" i="4"/>
  <c r="AG63" i="3"/>
  <c r="AH63" i="3" s="1"/>
  <c r="F105" i="4" s="1"/>
  <c r="F108" i="4" s="1"/>
  <c r="AO63" i="3"/>
  <c r="AQ63" i="3"/>
  <c r="AQ66" i="3" s="1"/>
  <c r="AQ67" i="3" s="1"/>
  <c r="AQ68" i="3" s="1"/>
  <c r="C141" i="4"/>
  <c r="BL55" i="5"/>
  <c r="BI54" i="5"/>
  <c r="BM54" i="5" s="1"/>
  <c r="BN54" i="5" s="1"/>
  <c r="AM71" i="1"/>
  <c r="AM72" i="1" s="1"/>
  <c r="AM87" i="1" s="1"/>
  <c r="AM88" i="1" s="1"/>
  <c r="AM89" i="1" s="1"/>
  <c r="AM90" i="1" s="1"/>
  <c r="BJ49" i="5"/>
  <c r="BH49" i="5"/>
  <c r="BK49" i="5" s="1"/>
  <c r="BI40" i="5"/>
  <c r="BM40" i="5" s="1"/>
  <c r="BN40" i="5" s="1"/>
  <c r="BP40" i="5" s="1"/>
  <c r="BF45" i="3"/>
  <c r="BH25" i="5"/>
  <c r="BK25" i="5" s="1"/>
  <c r="BL25" i="5" s="1"/>
  <c r="AY37" i="5"/>
  <c r="BC45" i="3"/>
  <c r="BD45" i="3" s="1"/>
  <c r="F169" i="4" s="1"/>
  <c r="D169" i="4"/>
  <c r="BH37" i="5"/>
  <c r="BK37" i="5" s="1"/>
  <c r="BJ37" i="5"/>
  <c r="AV37" i="5"/>
  <c r="AZ37" i="5" s="1"/>
  <c r="BA37" i="5" s="1"/>
  <c r="BA44" i="5" s="1"/>
  <c r="BB47" i="3"/>
  <c r="AZ47" i="3"/>
  <c r="C171" i="4"/>
  <c r="AR25" i="3"/>
  <c r="AS25" i="3" s="1"/>
  <c r="F123" i="4" s="1"/>
  <c r="D123" i="4"/>
  <c r="D165" i="4"/>
  <c r="BC41" i="3"/>
  <c r="BD41" i="3" s="1"/>
  <c r="F165" i="4" s="1"/>
  <c r="C159" i="4"/>
  <c r="AZ25" i="3"/>
  <c r="BF25" i="3"/>
  <c r="BB28" i="3"/>
  <c r="AY49" i="5"/>
  <c r="AP47" i="3"/>
  <c r="E135" i="4" s="1"/>
  <c r="G135" i="4" s="1"/>
  <c r="H135" i="4" s="1"/>
  <c r="AR47" i="3"/>
  <c r="AS47" i="3" s="1"/>
  <c r="F135" i="4" s="1"/>
  <c r="D135" i="4"/>
  <c r="AV31" i="5"/>
  <c r="AZ31" i="5" s="1"/>
  <c r="BA31" i="5" s="1"/>
  <c r="BA32" i="5" s="1"/>
  <c r="AF30" i="3"/>
  <c r="BI21" i="5"/>
  <c r="BM21" i="5" s="1"/>
  <c r="BN21" i="5" s="1"/>
  <c r="BP21" i="5" s="1"/>
  <c r="AV49" i="5"/>
  <c r="AZ49" i="5" s="1"/>
  <c r="BA49" i="5" s="1"/>
  <c r="BL16" i="5"/>
  <c r="BB14" i="3"/>
  <c r="BF14" i="3" s="1"/>
  <c r="AZ14" i="3"/>
  <c r="BA14" i="3" s="1"/>
  <c r="E153" i="4" s="1"/>
  <c r="G153" i="4" s="1"/>
  <c r="H153" i="4" s="1"/>
  <c r="C153" i="4"/>
  <c r="BI16" i="5"/>
  <c r="BM16" i="5" s="1"/>
  <c r="BN16" i="5" s="1"/>
  <c r="BP16" i="5" s="1"/>
  <c r="BL17" i="5"/>
  <c r="BI17" i="5"/>
  <c r="BM17" i="5" s="1"/>
  <c r="BN17" i="5" s="1"/>
  <c r="BP17" i="5" s="1"/>
  <c r="AR14" i="3"/>
  <c r="AS14" i="3" s="1"/>
  <c r="F117" i="4" s="1"/>
  <c r="D117" i="4"/>
  <c r="BB13" i="3"/>
  <c r="C152" i="4"/>
  <c r="AZ13" i="3"/>
  <c r="BI13" i="5"/>
  <c r="BM13" i="5" s="1"/>
  <c r="BN13" i="5" s="1"/>
  <c r="BP13" i="5" s="1"/>
  <c r="H108" i="4"/>
  <c r="AP13" i="3"/>
  <c r="E116" i="4" s="1"/>
  <c r="G116" i="4" s="1"/>
  <c r="H116" i="4" s="1"/>
  <c r="AR13" i="3"/>
  <c r="AS13" i="3" s="1"/>
  <c r="F116" i="4" s="1"/>
  <c r="D116" i="4"/>
  <c r="AN32" i="5"/>
  <c r="BI24" i="5"/>
  <c r="BM24" i="5" s="1"/>
  <c r="BN24" i="5" s="1"/>
  <c r="BP24" i="5" s="1"/>
  <c r="BK24" i="5"/>
  <c r="BL24" i="5" s="1"/>
  <c r="BJ31" i="5"/>
  <c r="BH31" i="5"/>
  <c r="BK31" i="5" s="1"/>
  <c r="BI12" i="5"/>
  <c r="BM12" i="5" s="1"/>
  <c r="BN12" i="5" s="1"/>
  <c r="BI39" i="5"/>
  <c r="BM39" i="5" s="1"/>
  <c r="BN39" i="5" s="1"/>
  <c r="AQ36" i="3"/>
  <c r="BA55" i="3"/>
  <c r="E174" i="4" s="1"/>
  <c r="G174" i="4" s="1"/>
  <c r="H174" i="4" s="1"/>
  <c r="D174" i="4"/>
  <c r="BC55" i="3"/>
  <c r="BD55" i="3" s="1"/>
  <c r="F174" i="4" s="1"/>
  <c r="BL54" i="5"/>
  <c r="BL53" i="5"/>
  <c r="U38" i="3"/>
  <c r="AR64" i="3"/>
  <c r="AS64" i="3" s="1"/>
  <c r="F142" i="4" s="1"/>
  <c r="D142" i="4"/>
  <c r="D128" i="4"/>
  <c r="AR35" i="3"/>
  <c r="AS35" i="3" s="1"/>
  <c r="F128" i="4" s="1"/>
  <c r="G88" i="1"/>
  <c r="BA56" i="5"/>
  <c r="BP30" i="5"/>
  <c r="J87" i="3"/>
  <c r="BL12" i="5"/>
  <c r="BA46" i="3"/>
  <c r="E170" i="4" s="1"/>
  <c r="G170" i="4" s="1"/>
  <c r="H170" i="4" s="1"/>
  <c r="BC46" i="3"/>
  <c r="BD46" i="3" s="1"/>
  <c r="F170" i="4" s="1"/>
  <c r="D170" i="4"/>
  <c r="BA12" i="3"/>
  <c r="E151" i="4" s="1"/>
  <c r="G151" i="4" s="1"/>
  <c r="H151" i="4" s="1"/>
  <c r="D151" i="4"/>
  <c r="BC12" i="3"/>
  <c r="BD12" i="3" s="1"/>
  <c r="F151" i="4" s="1"/>
  <c r="AZ35" i="3"/>
  <c r="C164" i="4"/>
  <c r="BB35" i="3"/>
  <c r="BB64" i="3"/>
  <c r="AZ64" i="3"/>
  <c r="C178" i="4"/>
  <c r="BL40" i="5"/>
  <c r="AN26" i="5"/>
  <c r="BL39" i="5"/>
  <c r="BL13" i="5"/>
  <c r="BF12" i="3"/>
  <c r="AQ51" i="3"/>
  <c r="AM68" i="1"/>
  <c r="AQ68" i="1" s="1"/>
  <c r="AY31" i="5"/>
  <c r="BL47" i="5" l="1"/>
  <c r="BA18" i="5"/>
  <c r="BB50" i="3"/>
  <c r="BI8" i="5"/>
  <c r="BM8" i="5" s="1"/>
  <c r="BN8" i="5" s="1"/>
  <c r="BP8" i="5" s="1"/>
  <c r="BI47" i="5"/>
  <c r="BM47" i="5" s="1"/>
  <c r="BN47" i="5" s="1"/>
  <c r="BP47" i="5" s="1"/>
  <c r="BI22" i="5"/>
  <c r="BM22" i="5" s="1"/>
  <c r="BN22" i="5" s="1"/>
  <c r="BP22" i="5" s="1"/>
  <c r="BI48" i="5"/>
  <c r="BM48" i="5" s="1"/>
  <c r="BN48" i="5" s="1"/>
  <c r="BP48" i="5" s="1"/>
  <c r="BK10" i="5"/>
  <c r="BL10" i="5" s="1"/>
  <c r="BI10" i="5"/>
  <c r="BM10" i="5" s="1"/>
  <c r="BN10" i="5" s="1"/>
  <c r="BP10" i="5" s="1"/>
  <c r="BL8" i="5"/>
  <c r="BB36" i="3"/>
  <c r="BB37" i="3" s="1"/>
  <c r="BB38" i="3" s="1"/>
  <c r="BL48" i="5"/>
  <c r="BL35" i="5"/>
  <c r="BA26" i="3"/>
  <c r="E160" i="4" s="1"/>
  <c r="G160" i="4" s="1"/>
  <c r="H160" i="4" s="1"/>
  <c r="D160" i="4"/>
  <c r="BC26" i="3"/>
  <c r="BD26" i="3" s="1"/>
  <c r="F160" i="4" s="1"/>
  <c r="D163" i="4"/>
  <c r="BC34" i="3"/>
  <c r="BD34" i="3" s="1"/>
  <c r="F163" i="4" s="1"/>
  <c r="BA10" i="3"/>
  <c r="E149" i="4" s="1"/>
  <c r="G149" i="4" s="1"/>
  <c r="H149" i="4" s="1"/>
  <c r="BC10" i="3"/>
  <c r="BD10" i="3" s="1"/>
  <c r="F149" i="4" s="1"/>
  <c r="D149" i="4"/>
  <c r="BB58" i="3"/>
  <c r="BB59" i="3" s="1"/>
  <c r="BB60" i="3" s="1"/>
  <c r="BF60" i="3" s="1"/>
  <c r="BA24" i="3"/>
  <c r="E158" i="4" s="1"/>
  <c r="G158" i="4" s="1"/>
  <c r="H158" i="4" s="1"/>
  <c r="BC24" i="3"/>
  <c r="BD24" i="3" s="1"/>
  <c r="F158" i="4" s="1"/>
  <c r="D158" i="4"/>
  <c r="BA34" i="3"/>
  <c r="E163" i="4" s="1"/>
  <c r="G163" i="4" s="1"/>
  <c r="H163" i="4" s="1"/>
  <c r="AF71" i="3"/>
  <c r="AF72" i="3" s="1"/>
  <c r="AF87" i="3" s="1"/>
  <c r="AF88" i="3" s="1"/>
  <c r="AF89" i="3" s="1"/>
  <c r="AF90" i="3" s="1"/>
  <c r="BI35" i="5"/>
  <c r="BM35" i="5" s="1"/>
  <c r="BN35" i="5" s="1"/>
  <c r="BP35" i="5" s="1"/>
  <c r="BC57" i="3"/>
  <c r="BD57" i="3" s="1"/>
  <c r="F176" i="4" s="1"/>
  <c r="D176" i="4"/>
  <c r="BA42" i="3"/>
  <c r="E166" i="4" s="1"/>
  <c r="G166" i="4" s="1"/>
  <c r="H166" i="4" s="1"/>
  <c r="BC42" i="3"/>
  <c r="BD42" i="3" s="1"/>
  <c r="F166" i="4" s="1"/>
  <c r="D166" i="4"/>
  <c r="BC49" i="3"/>
  <c r="BD49" i="3" s="1"/>
  <c r="F173" i="4" s="1"/>
  <c r="BA49" i="3"/>
  <c r="E173" i="4" s="1"/>
  <c r="G173" i="4" s="1"/>
  <c r="H173" i="4" s="1"/>
  <c r="D173" i="4"/>
  <c r="BI37" i="5"/>
  <c r="BM37" i="5" s="1"/>
  <c r="BN37" i="5" s="1"/>
  <c r="BP37" i="5" s="1"/>
  <c r="BA57" i="3"/>
  <c r="E176" i="4" s="1"/>
  <c r="G176" i="4" s="1"/>
  <c r="H176" i="4" s="1"/>
  <c r="BP39" i="5"/>
  <c r="BL31" i="5"/>
  <c r="BL49" i="5"/>
  <c r="AQ72" i="1"/>
  <c r="BL37" i="5"/>
  <c r="BI49" i="5"/>
  <c r="BM49" i="5" s="1"/>
  <c r="BN49" i="5" s="1"/>
  <c r="AR63" i="3"/>
  <c r="AS63" i="3" s="1"/>
  <c r="F141" i="4" s="1"/>
  <c r="F144" i="4" s="1"/>
  <c r="D141" i="4"/>
  <c r="AP63" i="3"/>
  <c r="E141" i="4" s="1"/>
  <c r="G141" i="4" s="1"/>
  <c r="H141" i="4" s="1"/>
  <c r="H144" i="4" s="1"/>
  <c r="AQ71" i="1"/>
  <c r="AQ87" i="1"/>
  <c r="AZ63" i="3"/>
  <c r="BA63" i="3" s="1"/>
  <c r="E177" i="4" s="1"/>
  <c r="G177" i="4" s="1"/>
  <c r="H177" i="4" s="1"/>
  <c r="C177" i="4"/>
  <c r="BB63" i="3"/>
  <c r="BF63" i="3" s="1"/>
  <c r="BN56" i="5"/>
  <c r="BP56" i="5" s="1"/>
  <c r="BP54" i="5"/>
  <c r="BB51" i="3"/>
  <c r="BB52" i="3" s="1"/>
  <c r="BF50" i="3"/>
  <c r="BA50" i="5"/>
  <c r="BA58" i="5" s="1"/>
  <c r="BA73" i="5" s="1"/>
  <c r="BF47" i="3"/>
  <c r="BI31" i="5"/>
  <c r="BM31" i="5" s="1"/>
  <c r="BN31" i="5" s="1"/>
  <c r="BA25" i="3"/>
  <c r="E159" i="4" s="1"/>
  <c r="G159" i="4" s="1"/>
  <c r="H159" i="4" s="1"/>
  <c r="D159" i="4"/>
  <c r="BC25" i="3"/>
  <c r="BD25" i="3" s="1"/>
  <c r="F159" i="4" s="1"/>
  <c r="BA47" i="3"/>
  <c r="E171" i="4" s="1"/>
  <c r="G171" i="4" s="1"/>
  <c r="H171" i="4" s="1"/>
  <c r="D171" i="4"/>
  <c r="BC47" i="3"/>
  <c r="BD47" i="3" s="1"/>
  <c r="F171" i="4" s="1"/>
  <c r="BB29" i="3"/>
  <c r="BF29" i="3" s="1"/>
  <c r="BF28" i="3"/>
  <c r="BI25" i="5"/>
  <c r="BM25" i="5" s="1"/>
  <c r="BN25" i="5" s="1"/>
  <c r="BP25" i="5" s="1"/>
  <c r="D153" i="4"/>
  <c r="BC14" i="3"/>
  <c r="BD14" i="3" s="1"/>
  <c r="F153" i="4" s="1"/>
  <c r="BB18" i="3"/>
  <c r="BB19" i="3" s="1"/>
  <c r="BB20" i="3" s="1"/>
  <c r="BF20" i="3" s="1"/>
  <c r="BP12" i="5"/>
  <c r="BF13" i="3"/>
  <c r="BA13" i="3"/>
  <c r="E152" i="4" s="1"/>
  <c r="G152" i="4" s="1"/>
  <c r="H152" i="4" s="1"/>
  <c r="BC13" i="3"/>
  <c r="BD13" i="3" s="1"/>
  <c r="F152" i="4" s="1"/>
  <c r="D152" i="4"/>
  <c r="BA64" i="3"/>
  <c r="E178" i="4" s="1"/>
  <c r="G178" i="4" s="1"/>
  <c r="H178" i="4" s="1"/>
  <c r="D178" i="4"/>
  <c r="BC64" i="3"/>
  <c r="BD64" i="3" s="1"/>
  <c r="F178" i="4" s="1"/>
  <c r="BF64" i="3"/>
  <c r="J88" i="3"/>
  <c r="G89" i="1"/>
  <c r="AQ88" i="1"/>
  <c r="AN58" i="5"/>
  <c r="BF35" i="3"/>
  <c r="AQ37" i="3"/>
  <c r="AQ38" i="3" s="1"/>
  <c r="BF38" i="3" s="1"/>
  <c r="BF36" i="3"/>
  <c r="AQ70" i="3"/>
  <c r="AQ52" i="3"/>
  <c r="BA35" i="3"/>
  <c r="E164" i="4" s="1"/>
  <c r="G164" i="4" s="1"/>
  <c r="H164" i="4" s="1"/>
  <c r="D164" i="4"/>
  <c r="BC35" i="3"/>
  <c r="BD35" i="3" s="1"/>
  <c r="F164" i="4" s="1"/>
  <c r="BN18" i="5" l="1"/>
  <c r="BP18" i="5" s="1"/>
  <c r="BN50" i="5"/>
  <c r="BP50" i="5" s="1"/>
  <c r="BF59" i="3"/>
  <c r="BF58" i="3"/>
  <c r="BF51" i="3"/>
  <c r="BP49" i="5"/>
  <c r="BN44" i="5"/>
  <c r="BP44" i="5" s="1"/>
  <c r="BB66" i="3"/>
  <c r="BF66" i="3" s="1"/>
  <c r="BF52" i="3"/>
  <c r="BC63" i="3"/>
  <c r="BD63" i="3" s="1"/>
  <c r="F177" i="4" s="1"/>
  <c r="F180" i="4" s="1"/>
  <c r="D177" i="4"/>
  <c r="BP31" i="5"/>
  <c r="BN32" i="5"/>
  <c r="BP32" i="5" s="1"/>
  <c r="BN26" i="5"/>
  <c r="H180" i="4"/>
  <c r="BB30" i="3"/>
  <c r="BF30" i="3" s="1"/>
  <c r="BF18" i="3"/>
  <c r="AN73" i="5"/>
  <c r="J89" i="3"/>
  <c r="BF37" i="3"/>
  <c r="AQ71" i="3"/>
  <c r="G90" i="1"/>
  <c r="AQ90" i="1" s="1"/>
  <c r="AQ89" i="1"/>
  <c r="BF19" i="3"/>
  <c r="BB67" i="3" l="1"/>
  <c r="BB71" i="3" s="1"/>
  <c r="BF71" i="3" s="1"/>
  <c r="BB70" i="3"/>
  <c r="BF70" i="3" s="1"/>
  <c r="BP26" i="5"/>
  <c r="BN58" i="5"/>
  <c r="J90" i="3"/>
  <c r="AQ72" i="3"/>
  <c r="BB68" i="3" l="1"/>
  <c r="BF68" i="3" s="1"/>
  <c r="BF67" i="3"/>
  <c r="BB72" i="3"/>
  <c r="BB87" i="3" s="1"/>
  <c r="BB88" i="3" s="1"/>
  <c r="BB89" i="3" s="1"/>
  <c r="BB90" i="3" s="1"/>
  <c r="BN73" i="5"/>
  <c r="BP73" i="5" s="1"/>
  <c r="BP58" i="5"/>
  <c r="AQ87" i="3"/>
  <c r="BF72" i="3" l="1"/>
  <c r="AQ88" i="3"/>
  <c r="BF87" i="3"/>
  <c r="AQ89" i="3" l="1"/>
  <c r="BF88" i="3"/>
  <c r="AQ90" i="3" l="1"/>
  <c r="BF90" i="3" s="1"/>
  <c r="BF89" i="3"/>
</calcChain>
</file>

<file path=xl/sharedStrings.xml><?xml version="1.0" encoding="utf-8"?>
<sst xmlns="http://schemas.openxmlformats.org/spreadsheetml/2006/main" count="349" uniqueCount="99">
  <si>
    <t>Salaries Total</t>
  </si>
  <si>
    <t>Total Costs</t>
  </si>
  <si>
    <t>Total</t>
  </si>
  <si>
    <t>Research</t>
  </si>
  <si>
    <t>All Salary</t>
  </si>
  <si>
    <t>All Fringe</t>
  </si>
  <si>
    <t>All Total</t>
  </si>
  <si>
    <t>Total Direct Costs</t>
  </si>
  <si>
    <t>Equipment</t>
  </si>
  <si>
    <t>Total Other Costs</t>
  </si>
  <si>
    <t>Year 1</t>
  </si>
  <si>
    <t>Year 2</t>
  </si>
  <si>
    <t>Year 3</t>
  </si>
  <si>
    <t>Year 4</t>
  </si>
  <si>
    <t>Year 5</t>
  </si>
  <si>
    <t>Summer</t>
  </si>
  <si>
    <t>Monthly salary</t>
  </si>
  <si>
    <t>Effort in months</t>
  </si>
  <si>
    <t xml:space="preserve">PI: </t>
  </si>
  <si>
    <t>Sponsor:</t>
  </si>
  <si>
    <t>State</t>
  </si>
  <si>
    <t>Name</t>
  </si>
  <si>
    <t>Name (AY)</t>
  </si>
  <si>
    <t>Name (CY)</t>
  </si>
  <si>
    <t>Total IDC Base</t>
  </si>
  <si>
    <t>Undergrad</t>
  </si>
  <si>
    <t>Salary</t>
  </si>
  <si>
    <t>State/IFR</t>
  </si>
  <si>
    <t>RF</t>
  </si>
  <si>
    <t>Grad</t>
  </si>
  <si>
    <t>MTDC</t>
  </si>
  <si>
    <t>Fringe</t>
  </si>
  <si>
    <t>Project Period:</t>
  </si>
  <si>
    <t>OTPS</t>
  </si>
  <si>
    <t>S &amp; F Total</t>
  </si>
  <si>
    <t>Undergraduate</t>
  </si>
  <si>
    <t>Graduate Student</t>
  </si>
  <si>
    <t>Effort in hours*</t>
  </si>
  <si>
    <t>Hourly salary</t>
  </si>
  <si>
    <t>Hourly fringe</t>
  </si>
  <si>
    <t>Hourly rate (S&amp;F)</t>
  </si>
  <si>
    <t>Salary requested</t>
  </si>
  <si>
    <t>Total S&amp;F</t>
  </si>
  <si>
    <t>*Please Note:  The personnel listed above are paid annual, not hourly salaries.  In accordance with Cost Accounting Standards, the University at Buffalo and the Research Foundation of SUNY report faculty and staff effort on research projects in terms of a percentage of total effort.  The estimated hours are based on a standard 37.5 hour work week.  The hourly rates are derived by dividing the individual's annual salary by the number of hours in a standard work year (i.e. – approximately 1950 hours calendar year appointments, approximately 1463 hours for academic year appointments, 3 summer months - approximately 487 hours.) GRA and UG appointments are 1040 hours in a standard work year.</t>
  </si>
  <si>
    <t>Subawards - adjust IDC base</t>
  </si>
  <si>
    <t>Personnel*</t>
  </si>
  <si>
    <t>Annual salary</t>
  </si>
  <si>
    <t>Fringe requested</t>
  </si>
  <si>
    <t>Hourly Salary</t>
  </si>
  <si>
    <t>Hourly Fringe</t>
  </si>
  <si>
    <t>Hourly Rate (S&amp;F)</t>
  </si>
  <si>
    <t>Effort in Hours*</t>
  </si>
  <si>
    <t>Salary &amp; Fringe Requested</t>
  </si>
  <si>
    <t>% Effort</t>
  </si>
  <si>
    <t>Tuition -/ch, ch/sem</t>
  </si>
  <si>
    <t>Fully Burdened Rate</t>
  </si>
  <si>
    <t>Fully Burdened Amount</t>
  </si>
  <si>
    <t>PostDoc</t>
  </si>
  <si>
    <t>Please remember to adjust IDC base pending on if its MTDC for Federal and TDC for Non-Federal</t>
  </si>
  <si>
    <t>Please remember to adjust IDC Base pending on if its MTDC for Federal or TDC for Non-Federal</t>
  </si>
  <si>
    <t xml:space="preserve">Fully Burdened Rate </t>
  </si>
  <si>
    <t>Fully Burdened Total</t>
  </si>
  <si>
    <t>When Budget is final</t>
  </si>
  <si>
    <t>&gt; Open New excel document</t>
  </si>
  <si>
    <t>&gt; do a "File - Paste Values 123%"</t>
  </si>
  <si>
    <t>&gt; If the same person has an Academic and Summer line, combine both lines into 1.</t>
  </si>
  <si>
    <t>**Sanitized Budget currently calculates as TDC**</t>
  </si>
  <si>
    <t>&gt; Copy Sanitized Budget excel worksheet</t>
  </si>
  <si>
    <t>FY2024</t>
  </si>
  <si>
    <t>FY2025</t>
  </si>
  <si>
    <t>*Current Sanitized spreadsheet budget perios run from 1/1/20 - 12/31/25. Please double check fringe rate and fringe rate formula's if budget has partial periods.*</t>
  </si>
  <si>
    <t>*Current Sanitized spreadsheet budget periods run from 1/1/20 - 12/31/25. Please double check fringe rate and frigne rate formula's if budget has partial periods.*</t>
  </si>
  <si>
    <t>Name (Summer)</t>
  </si>
  <si>
    <t>FY2026</t>
  </si>
  <si>
    <t>FY2027</t>
  </si>
  <si>
    <t>FY2028</t>
  </si>
  <si>
    <t>Fringe Total 14, 14.50, 14.50, 14.50, 14.50%</t>
  </si>
  <si>
    <t>Fringe Total 6, 6, 6, 6, 6%</t>
  </si>
  <si>
    <t>Indirect Costs (60.5; 61; 61; 61; 61% MTDC)</t>
  </si>
  <si>
    <t>Travel</t>
  </si>
  <si>
    <t>Supplies</t>
  </si>
  <si>
    <t>Publications</t>
  </si>
  <si>
    <t>Consultants</t>
  </si>
  <si>
    <t>Other</t>
  </si>
  <si>
    <t>Fringe Total 40, 41, 41.50, 43, 43%</t>
  </si>
  <si>
    <t>Fringe Total 13, 13, 13, 13.5, 13.50%</t>
  </si>
  <si>
    <t>Fringe Total 28, 32, 34, 35, 35%</t>
  </si>
  <si>
    <t>Fringe Total 64.45, 65.45, 66.84%</t>
  </si>
  <si>
    <t>Fringe Total 14, 14.50, 14.50%</t>
  </si>
  <si>
    <t>Fringe Total 40, 41, 41.50%</t>
  </si>
  <si>
    <t>Fringe Total 13, 13, 13%</t>
  </si>
  <si>
    <t>Fringe Total 6, 6, 6%</t>
  </si>
  <si>
    <t>Fringe Total 28, 32, 34%</t>
  </si>
  <si>
    <t>Indirect Costs (60.5, 61, 61% MTDC)</t>
  </si>
  <si>
    <t>Martinez Machain, Carla (AY)</t>
  </si>
  <si>
    <t>Martinez Machain, Carla</t>
  </si>
  <si>
    <t>TBN Undergraduate *Hourly</t>
  </si>
  <si>
    <t>Lead:  UMD; Prime: DOD Minerva Research Initiative</t>
  </si>
  <si>
    <t>9/1/24 to 12/31/25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</si>
</sst>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quot;$&quot;#,##0;[Red]&quot;$&quot;#,##0"/>
    <numFmt numFmtId="165" formatCode="&quot;$&quot;#,##0"/>
    <numFmt numFmtId="166" formatCode="&quot;$&quot;#,##0.00"/>
  </numFmts>
  <fonts count="4" x14ac:knownFonts="1">
    <font>
      <sz val="10"/>
      <name val="Arial"/>
    </font>
    <font>
      <b/>
      <sz val="10"/>
      <name val="Arial"/>
      <family val="2"/>
    </font>
    <font>
      <b/>
      <sz val="12"/>
      <name val="Arial"/>
      <family val="2"/>
    </font>
    <font>
      <sz val="10"/>
      <name val="Arial"/>
      <family val="2"/>
    </font>
  </fonts>
  <fills count="12">
    <fill>
      <patternFill patternType="none"/>
    </fill>
    <fill>
      <patternFill patternType="gray125"/>
    </fill>
    <fill>
      <patternFill patternType="solid">
        <fgColor theme="0" tint="-0.249977111117893"/>
        <bgColor indexed="64"/>
      </patternFill>
    </fill>
    <fill>
      <patternFill patternType="solid">
        <fgColor theme="3" tint="0.79998168889431442"/>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6" tint="0.59999389629810485"/>
        <bgColor indexed="64"/>
      </patternFill>
    </fill>
    <fill>
      <patternFill patternType="solid">
        <fgColor theme="8" tint="0.39997558519241921"/>
        <bgColor indexed="64"/>
      </patternFill>
    </fill>
    <fill>
      <patternFill patternType="solid">
        <fgColor theme="8" tint="0.59999389629810485"/>
        <bgColor indexed="64"/>
      </patternFill>
    </fill>
    <fill>
      <patternFill patternType="solid">
        <fgColor rgb="FFFFC000"/>
        <bgColor indexed="64"/>
      </patternFill>
    </fill>
    <fill>
      <patternFill patternType="solid">
        <fgColor rgb="FFFFFF00"/>
        <bgColor indexed="64"/>
      </patternFill>
    </fill>
    <fill>
      <patternFill patternType="solid">
        <fgColor rgb="FF92D050"/>
        <bgColor indexed="64"/>
      </patternFill>
    </fill>
  </fills>
  <borders count="26">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medium">
        <color indexed="64"/>
      </right>
      <top/>
      <bottom style="medium">
        <color indexed="64"/>
      </bottom>
      <diagonal/>
    </border>
    <border>
      <left/>
      <right/>
      <top style="double">
        <color indexed="64"/>
      </top>
      <bottom/>
      <diagonal/>
    </border>
    <border>
      <left/>
      <right style="medium">
        <color indexed="64"/>
      </right>
      <top style="double">
        <color indexed="64"/>
      </top>
      <bottom/>
      <diagonal/>
    </border>
    <border>
      <left/>
      <right/>
      <top/>
      <bottom style="double">
        <color indexed="64"/>
      </bottom>
      <diagonal/>
    </border>
    <border>
      <left style="medium">
        <color indexed="64"/>
      </left>
      <right/>
      <top/>
      <bottom style="double">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medium">
        <color indexed="64"/>
      </right>
      <top/>
      <bottom style="double">
        <color indexed="64"/>
      </bottom>
      <diagonal/>
    </border>
    <border>
      <left style="medium">
        <color indexed="64"/>
      </left>
      <right/>
      <top style="double">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ck">
        <color rgb="FFFF0000"/>
      </top>
      <bottom style="thick">
        <color rgb="FFFF0000"/>
      </bottom>
      <diagonal/>
    </border>
    <border>
      <left/>
      <right style="thick">
        <color rgb="FFFF0000"/>
      </right>
      <top style="thick">
        <color rgb="FFFF0000"/>
      </top>
      <bottom style="thick">
        <color rgb="FFFF0000"/>
      </bottom>
      <diagonal/>
    </border>
  </borders>
  <cellStyleXfs count="1">
    <xf numFmtId="0" fontId="0" fillId="0" borderId="0"/>
  </cellStyleXfs>
  <cellXfs count="258">
    <xf numFmtId="0" fontId="0" fillId="0" borderId="0" xfId="0"/>
    <xf numFmtId="0" fontId="1" fillId="0" borderId="0" xfId="0" applyFont="1"/>
    <xf numFmtId="0" fontId="2" fillId="0" borderId="0" xfId="0" applyFont="1"/>
    <xf numFmtId="164" fontId="2" fillId="0" borderId="0" xfId="0" applyNumberFormat="1" applyFont="1" applyAlignment="1">
      <alignment horizontal="center"/>
    </xf>
    <xf numFmtId="164" fontId="0" fillId="0" borderId="0" xfId="0" applyNumberFormat="1" applyAlignment="1">
      <alignment horizontal="center"/>
    </xf>
    <xf numFmtId="164" fontId="1" fillId="0" borderId="0" xfId="0" applyNumberFormat="1" applyFont="1" applyAlignment="1">
      <alignment horizontal="center"/>
    </xf>
    <xf numFmtId="0" fontId="3" fillId="0" borderId="0" xfId="0" applyFont="1"/>
    <xf numFmtId="164" fontId="0" fillId="0" borderId="0" xfId="0" applyNumberFormat="1"/>
    <xf numFmtId="164" fontId="1" fillId="0" borderId="0" xfId="0" applyNumberFormat="1" applyFont="1"/>
    <xf numFmtId="0" fontId="2" fillId="0" borderId="0" xfId="0" applyFont="1" applyAlignment="1">
      <alignment horizontal="center"/>
    </xf>
    <xf numFmtId="0" fontId="0" fillId="0" borderId="0" xfId="0" applyAlignment="1">
      <alignment horizontal="center"/>
    </xf>
    <xf numFmtId="9" fontId="0" fillId="0" borderId="0" xfId="0" applyNumberFormat="1" applyAlignment="1">
      <alignment horizontal="left"/>
    </xf>
    <xf numFmtId="2" fontId="0" fillId="0" borderId="0" xfId="0" applyNumberFormat="1" applyAlignment="1">
      <alignment horizontal="center"/>
    </xf>
    <xf numFmtId="2" fontId="2" fillId="0" borderId="0" xfId="0" applyNumberFormat="1" applyFont="1" applyAlignment="1">
      <alignment horizontal="center"/>
    </xf>
    <xf numFmtId="0" fontId="0" fillId="0" borderId="0" xfId="0" applyAlignment="1">
      <alignment wrapText="1"/>
    </xf>
    <xf numFmtId="164" fontId="0" fillId="0" borderId="0" xfId="0" applyNumberFormat="1" applyAlignment="1">
      <alignment horizontal="center" wrapText="1"/>
    </xf>
    <xf numFmtId="0" fontId="0" fillId="0" borderId="0" xfId="0" applyAlignment="1">
      <alignment horizontal="center" wrapText="1"/>
    </xf>
    <xf numFmtId="14" fontId="0" fillId="0" borderId="0" xfId="0" applyNumberFormat="1" applyAlignment="1">
      <alignment horizontal="left"/>
    </xf>
    <xf numFmtId="164" fontId="0" fillId="2" borderId="0" xfId="0" applyNumberFormat="1" applyFill="1" applyAlignment="1">
      <alignment horizontal="center"/>
    </xf>
    <xf numFmtId="164" fontId="3" fillId="0" borderId="0" xfId="0" applyNumberFormat="1" applyFont="1" applyAlignment="1">
      <alignment horizontal="center"/>
    </xf>
    <xf numFmtId="10" fontId="0" fillId="0" borderId="1" xfId="0" applyNumberFormat="1" applyBorder="1"/>
    <xf numFmtId="10" fontId="3" fillId="0" borderId="1" xfId="0" applyNumberFormat="1" applyFont="1" applyBorder="1"/>
    <xf numFmtId="0" fontId="0" fillId="0" borderId="2" xfId="0" applyBorder="1"/>
    <xf numFmtId="0" fontId="0" fillId="0" borderId="3" xfId="0" applyBorder="1"/>
    <xf numFmtId="0" fontId="0" fillId="0" borderId="4" xfId="0" applyBorder="1"/>
    <xf numFmtId="0" fontId="3" fillId="0" borderId="3" xfId="0" applyFont="1" applyBorder="1"/>
    <xf numFmtId="10" fontId="0" fillId="0" borderId="5" xfId="0" applyNumberFormat="1" applyBorder="1"/>
    <xf numFmtId="0" fontId="3" fillId="0" borderId="6" xfId="0" applyFont="1" applyBorder="1"/>
    <xf numFmtId="10" fontId="0" fillId="0" borderId="7" xfId="0" applyNumberFormat="1" applyBorder="1"/>
    <xf numFmtId="10" fontId="0" fillId="0" borderId="8" xfId="0" applyNumberFormat="1" applyBorder="1"/>
    <xf numFmtId="0" fontId="1" fillId="0" borderId="2" xfId="0" applyFont="1" applyBorder="1"/>
    <xf numFmtId="14" fontId="0" fillId="0" borderId="9" xfId="0" applyNumberFormat="1" applyBorder="1" applyAlignment="1">
      <alignment horizontal="left"/>
    </xf>
    <xf numFmtId="9" fontId="0" fillId="2" borderId="9" xfId="0" applyNumberFormat="1" applyFill="1" applyBorder="1" applyAlignment="1">
      <alignment horizontal="center"/>
    </xf>
    <xf numFmtId="2" fontId="0" fillId="0" borderId="9" xfId="0" applyNumberFormat="1" applyBorder="1" applyAlignment="1">
      <alignment horizontal="center"/>
    </xf>
    <xf numFmtId="164" fontId="0" fillId="2" borderId="9" xfId="0" applyNumberFormat="1" applyFill="1" applyBorder="1" applyAlignment="1">
      <alignment horizontal="center"/>
    </xf>
    <xf numFmtId="164" fontId="1" fillId="0" borderId="10" xfId="0" applyNumberFormat="1" applyFont="1" applyBorder="1" applyAlignment="1">
      <alignment horizontal="center"/>
    </xf>
    <xf numFmtId="0" fontId="1" fillId="0" borderId="3" xfId="0" applyFont="1" applyBorder="1"/>
    <xf numFmtId="1" fontId="0" fillId="0" borderId="0" xfId="0" applyNumberFormat="1" applyAlignment="1">
      <alignment horizontal="center" wrapText="1"/>
    </xf>
    <xf numFmtId="164" fontId="0" fillId="2" borderId="0" xfId="0" applyNumberFormat="1" applyFill="1" applyAlignment="1">
      <alignment horizontal="center" wrapText="1"/>
    </xf>
    <xf numFmtId="2" fontId="0" fillId="0" borderId="0" xfId="0" applyNumberFormat="1" applyAlignment="1">
      <alignment horizontal="center" wrapText="1"/>
    </xf>
    <xf numFmtId="164" fontId="1" fillId="0" borderId="4" xfId="0" applyNumberFormat="1" applyFont="1" applyBorder="1" applyAlignment="1">
      <alignment horizontal="center" wrapText="1"/>
    </xf>
    <xf numFmtId="2" fontId="3" fillId="0" borderId="0" xfId="0" applyNumberFormat="1" applyFont="1" applyAlignment="1">
      <alignment horizontal="center"/>
    </xf>
    <xf numFmtId="164" fontId="1" fillId="0" borderId="4" xfId="0" applyNumberFormat="1" applyFont="1" applyBorder="1" applyAlignment="1">
      <alignment horizontal="center"/>
    </xf>
    <xf numFmtId="1" fontId="0" fillId="0" borderId="0" xfId="0" applyNumberFormat="1" applyAlignment="1">
      <alignment horizontal="center"/>
    </xf>
    <xf numFmtId="0" fontId="1" fillId="0" borderId="0" xfId="0" applyFont="1" applyAlignment="1">
      <alignment horizontal="left"/>
    </xf>
    <xf numFmtId="9" fontId="1" fillId="0" borderId="11" xfId="0" applyNumberFormat="1" applyFont="1" applyBorder="1" applyAlignment="1">
      <alignment horizontal="left"/>
    </xf>
    <xf numFmtId="164" fontId="1" fillId="0" borderId="11" xfId="0" applyNumberFormat="1" applyFont="1" applyBorder="1" applyAlignment="1">
      <alignment horizontal="center"/>
    </xf>
    <xf numFmtId="164" fontId="1" fillId="2" borderId="11" xfId="0" applyNumberFormat="1" applyFont="1" applyFill="1" applyBorder="1" applyAlignment="1">
      <alignment horizontal="center"/>
    </xf>
    <xf numFmtId="2" fontId="1" fillId="0" borderId="11" xfId="0" applyNumberFormat="1" applyFont="1" applyBorder="1" applyAlignment="1">
      <alignment horizontal="center"/>
    </xf>
    <xf numFmtId="164" fontId="0" fillId="2" borderId="11" xfId="0" applyNumberFormat="1" applyFill="1" applyBorder="1" applyAlignment="1">
      <alignment horizontal="center"/>
    </xf>
    <xf numFmtId="164" fontId="1" fillId="0" borderId="12" xfId="0" applyNumberFormat="1" applyFont="1" applyBorder="1" applyAlignment="1">
      <alignment horizontal="center"/>
    </xf>
    <xf numFmtId="0" fontId="0" fillId="0" borderId="9" xfId="0" applyBorder="1"/>
    <xf numFmtId="9" fontId="0" fillId="0" borderId="9" xfId="0" applyNumberFormat="1" applyBorder="1" applyAlignment="1">
      <alignment horizontal="left"/>
    </xf>
    <xf numFmtId="164" fontId="0" fillId="0" borderId="9" xfId="0" applyNumberFormat="1" applyBorder="1" applyAlignment="1">
      <alignment horizontal="center"/>
    </xf>
    <xf numFmtId="164" fontId="1" fillId="2" borderId="9" xfId="0" applyNumberFormat="1" applyFont="1" applyFill="1" applyBorder="1" applyAlignment="1">
      <alignment horizontal="center"/>
    </xf>
    <xf numFmtId="9" fontId="1" fillId="0" borderId="0" xfId="0" applyNumberFormat="1" applyFont="1" applyAlignment="1">
      <alignment horizontal="left"/>
    </xf>
    <xf numFmtId="164" fontId="1" fillId="2" borderId="0" xfId="0" applyNumberFormat="1" applyFont="1" applyFill="1" applyAlignment="1">
      <alignment horizontal="center"/>
    </xf>
    <xf numFmtId="2" fontId="1" fillId="0" borderId="0" xfId="0" applyNumberFormat="1" applyFont="1" applyAlignment="1">
      <alignment horizontal="center"/>
    </xf>
    <xf numFmtId="165" fontId="0" fillId="0" borderId="0" xfId="0" applyNumberFormat="1" applyAlignment="1">
      <alignment horizontal="center"/>
    </xf>
    <xf numFmtId="165" fontId="0" fillId="2" borderId="0" xfId="0" applyNumberFormat="1" applyFill="1" applyAlignment="1">
      <alignment horizontal="center"/>
    </xf>
    <xf numFmtId="2" fontId="0" fillId="2" borderId="9" xfId="0" applyNumberFormat="1" applyFill="1" applyBorder="1" applyAlignment="1">
      <alignment horizontal="center"/>
    </xf>
    <xf numFmtId="9" fontId="0" fillId="0" borderId="9" xfId="0" applyNumberFormat="1" applyBorder="1" applyAlignment="1">
      <alignment horizontal="center"/>
    </xf>
    <xf numFmtId="1" fontId="0" fillId="0" borderId="13" xfId="0" applyNumberFormat="1" applyBorder="1" applyAlignment="1">
      <alignment horizontal="center"/>
    </xf>
    <xf numFmtId="164" fontId="0" fillId="0" borderId="13" xfId="0" applyNumberFormat="1" applyBorder="1" applyAlignment="1">
      <alignment horizontal="center"/>
    </xf>
    <xf numFmtId="164" fontId="0" fillId="2" borderId="13" xfId="0" applyNumberFormat="1" applyFill="1" applyBorder="1" applyAlignment="1">
      <alignment horizontal="center"/>
    </xf>
    <xf numFmtId="2" fontId="0" fillId="0" borderId="13" xfId="0" applyNumberFormat="1" applyBorder="1" applyAlignment="1">
      <alignment horizontal="center"/>
    </xf>
    <xf numFmtId="164" fontId="1" fillId="0" borderId="14" xfId="0" applyNumberFormat="1" applyFont="1" applyBorder="1" applyAlignment="1">
      <alignment horizontal="center"/>
    </xf>
    <xf numFmtId="164" fontId="3" fillId="0" borderId="13" xfId="0" applyNumberFormat="1" applyFont="1" applyBorder="1" applyAlignment="1">
      <alignment horizontal="center"/>
    </xf>
    <xf numFmtId="0" fontId="1" fillId="2" borderId="3" xfId="0" applyFont="1" applyFill="1" applyBorder="1"/>
    <xf numFmtId="0" fontId="0" fillId="2" borderId="0" xfId="0" applyFill="1"/>
    <xf numFmtId="9" fontId="0" fillId="2" borderId="0" xfId="0" applyNumberFormat="1" applyFill="1" applyAlignment="1">
      <alignment horizontal="left"/>
    </xf>
    <xf numFmtId="2" fontId="0" fillId="2" borderId="0" xfId="0" applyNumberFormat="1" applyFill="1" applyAlignment="1">
      <alignment horizontal="center"/>
    </xf>
    <xf numFmtId="164" fontId="1" fillId="2" borderId="4" xfId="0" applyNumberFormat="1" applyFont="1" applyFill="1" applyBorder="1" applyAlignment="1">
      <alignment horizontal="center"/>
    </xf>
    <xf numFmtId="164" fontId="3" fillId="0" borderId="0" xfId="0" applyNumberFormat="1" applyFont="1" applyAlignment="1">
      <alignment horizontal="center" wrapText="1"/>
    </xf>
    <xf numFmtId="1" fontId="1" fillId="0" borderId="0" xfId="0" applyNumberFormat="1" applyFont="1" applyAlignment="1">
      <alignment horizontal="center" wrapText="1"/>
    </xf>
    <xf numFmtId="164" fontId="1" fillId="0" borderId="0" xfId="0" applyNumberFormat="1" applyFont="1" applyAlignment="1">
      <alignment horizontal="center" wrapText="1"/>
    </xf>
    <xf numFmtId="2" fontId="1" fillId="0" borderId="0" xfId="0" applyNumberFormat="1" applyFont="1" applyAlignment="1">
      <alignment horizontal="center" wrapText="1"/>
    </xf>
    <xf numFmtId="164" fontId="1" fillId="2" borderId="0" xfId="0" applyNumberFormat="1" applyFont="1" applyFill="1" applyAlignment="1">
      <alignment horizontal="center" wrapText="1"/>
    </xf>
    <xf numFmtId="165" fontId="0" fillId="0" borderId="0" xfId="0" applyNumberFormat="1" applyAlignment="1">
      <alignment horizontal="left"/>
    </xf>
    <xf numFmtId="165" fontId="1" fillId="0" borderId="0" xfId="0" applyNumberFormat="1" applyFont="1" applyAlignment="1">
      <alignment horizontal="center" wrapText="1"/>
    </xf>
    <xf numFmtId="165" fontId="0" fillId="0" borderId="0" xfId="0" applyNumberFormat="1" applyAlignment="1">
      <alignment horizontal="center" wrapText="1"/>
    </xf>
    <xf numFmtId="165" fontId="3" fillId="0" borderId="0" xfId="0" applyNumberFormat="1" applyFont="1" applyAlignment="1">
      <alignment horizontal="center"/>
    </xf>
    <xf numFmtId="165" fontId="0" fillId="0" borderId="13" xfId="0" applyNumberFormat="1" applyBorder="1" applyAlignment="1">
      <alignment horizontal="center"/>
    </xf>
    <xf numFmtId="165" fontId="1" fillId="0" borderId="11" xfId="0" applyNumberFormat="1" applyFont="1" applyBorder="1" applyAlignment="1">
      <alignment horizontal="left"/>
    </xf>
    <xf numFmtId="165" fontId="0" fillId="0" borderId="9" xfId="0" applyNumberFormat="1" applyBorder="1" applyAlignment="1">
      <alignment horizontal="left"/>
    </xf>
    <xf numFmtId="165" fontId="1" fillId="0" borderId="0" xfId="0" applyNumberFormat="1" applyFont="1" applyAlignment="1">
      <alignment horizontal="left"/>
    </xf>
    <xf numFmtId="165" fontId="0" fillId="2" borderId="0" xfId="0" applyNumberFormat="1" applyFill="1" applyAlignment="1">
      <alignment horizontal="left"/>
    </xf>
    <xf numFmtId="165" fontId="2" fillId="0" borderId="0" xfId="0" applyNumberFormat="1" applyFont="1" applyAlignment="1">
      <alignment horizontal="center"/>
    </xf>
    <xf numFmtId="165" fontId="0" fillId="0" borderId="0" xfId="0" applyNumberFormat="1"/>
    <xf numFmtId="165" fontId="1" fillId="0" borderId="11" xfId="0" applyNumberFormat="1" applyFont="1" applyBorder="1" applyAlignment="1">
      <alignment horizontal="center"/>
    </xf>
    <xf numFmtId="165" fontId="0" fillId="0" borderId="9" xfId="0" applyNumberFormat="1" applyBorder="1" applyAlignment="1">
      <alignment horizontal="center"/>
    </xf>
    <xf numFmtId="165" fontId="1" fillId="0" borderId="0" xfId="0" applyNumberFormat="1" applyFont="1" applyAlignment="1">
      <alignment horizontal="center"/>
    </xf>
    <xf numFmtId="166" fontId="2" fillId="0" borderId="0" xfId="0" applyNumberFormat="1" applyFont="1" applyAlignment="1">
      <alignment horizontal="left"/>
    </xf>
    <xf numFmtId="166" fontId="0" fillId="0" borderId="0" xfId="0" applyNumberFormat="1" applyAlignment="1">
      <alignment horizontal="center"/>
    </xf>
    <xf numFmtId="166" fontId="0" fillId="0" borderId="9" xfId="0" applyNumberFormat="1" applyBorder="1" applyAlignment="1">
      <alignment horizontal="center"/>
    </xf>
    <xf numFmtId="166" fontId="1" fillId="0" borderId="0" xfId="0" applyNumberFormat="1" applyFont="1" applyAlignment="1">
      <alignment horizontal="center" wrapText="1"/>
    </xf>
    <xf numFmtId="166" fontId="0" fillId="0" borderId="0" xfId="0" applyNumberFormat="1" applyAlignment="1">
      <alignment horizontal="center" wrapText="1"/>
    </xf>
    <xf numFmtId="166" fontId="3" fillId="0" borderId="0" xfId="0" applyNumberFormat="1" applyFont="1" applyAlignment="1">
      <alignment horizontal="center"/>
    </xf>
    <xf numFmtId="166" fontId="0" fillId="0" borderId="13" xfId="0" applyNumberFormat="1" applyBorder="1" applyAlignment="1">
      <alignment horizontal="center"/>
    </xf>
    <xf numFmtId="166" fontId="1" fillId="0" borderId="11" xfId="0" applyNumberFormat="1" applyFont="1" applyBorder="1" applyAlignment="1">
      <alignment horizontal="center"/>
    </xf>
    <xf numFmtId="166" fontId="1" fillId="0" borderId="0" xfId="0" applyNumberFormat="1" applyFont="1" applyAlignment="1">
      <alignment horizontal="center"/>
    </xf>
    <xf numFmtId="166" fontId="0" fillId="2" borderId="0" xfId="0" applyNumberFormat="1" applyFill="1" applyAlignment="1">
      <alignment horizontal="center"/>
    </xf>
    <xf numFmtId="166" fontId="1" fillId="0" borderId="0" xfId="0" applyNumberFormat="1" applyFont="1" applyAlignment="1">
      <alignment horizontal="left"/>
    </xf>
    <xf numFmtId="0" fontId="0" fillId="0" borderId="24" xfId="0" applyBorder="1" applyAlignment="1">
      <alignment horizontal="left" vertical="top" wrapText="1"/>
    </xf>
    <xf numFmtId="0" fontId="0" fillId="0" borderId="25" xfId="0" applyBorder="1" applyAlignment="1">
      <alignment horizontal="left" vertical="top" wrapText="1"/>
    </xf>
    <xf numFmtId="0" fontId="0" fillId="0" borderId="0" xfId="0" applyAlignment="1">
      <alignment vertical="top"/>
    </xf>
    <xf numFmtId="0" fontId="0" fillId="0" borderId="0" xfId="0" applyAlignment="1">
      <alignment horizontal="left" vertical="top" wrapText="1"/>
    </xf>
    <xf numFmtId="2" fontId="0" fillId="3" borderId="0" xfId="0" applyNumberFormat="1" applyFill="1" applyAlignment="1">
      <alignment horizontal="center"/>
    </xf>
    <xf numFmtId="166" fontId="0" fillId="3" borderId="0" xfId="0" applyNumberFormat="1" applyFill="1" applyAlignment="1">
      <alignment horizontal="center"/>
    </xf>
    <xf numFmtId="2" fontId="0" fillId="4" borderId="0" xfId="0" applyNumberFormat="1" applyFill="1" applyAlignment="1">
      <alignment horizontal="center"/>
    </xf>
    <xf numFmtId="166" fontId="0" fillId="4" borderId="0" xfId="0" applyNumberFormat="1" applyFill="1" applyAlignment="1">
      <alignment horizontal="center"/>
    </xf>
    <xf numFmtId="2" fontId="0" fillId="5" borderId="0" xfId="0" applyNumberFormat="1" applyFill="1" applyAlignment="1">
      <alignment horizontal="center"/>
    </xf>
    <xf numFmtId="166" fontId="0" fillId="5" borderId="0" xfId="0" applyNumberFormat="1" applyFill="1" applyAlignment="1">
      <alignment horizontal="center"/>
    </xf>
    <xf numFmtId="2" fontId="0" fillId="6" borderId="0" xfId="0" applyNumberFormat="1" applyFill="1" applyAlignment="1">
      <alignment horizontal="center"/>
    </xf>
    <xf numFmtId="166" fontId="0" fillId="6" borderId="0" xfId="0" applyNumberFormat="1" applyFill="1" applyAlignment="1">
      <alignment horizontal="center"/>
    </xf>
    <xf numFmtId="0" fontId="0" fillId="3" borderId="0" xfId="0" applyFill="1"/>
    <xf numFmtId="0" fontId="0" fillId="6" borderId="0" xfId="0" applyFill="1"/>
    <xf numFmtId="0" fontId="0" fillId="5" borderId="0" xfId="0" applyFill="1"/>
    <xf numFmtId="0" fontId="0" fillId="4" borderId="0" xfId="0" applyFill="1"/>
    <xf numFmtId="0" fontId="2" fillId="0" borderId="11" xfId="0" applyFont="1" applyBorder="1" applyAlignment="1">
      <alignment horizontal="left" vertical="top" wrapText="1"/>
    </xf>
    <xf numFmtId="0" fontId="2" fillId="0" borderId="11" xfId="0" applyFont="1" applyBorder="1" applyAlignment="1">
      <alignment horizontal="center" vertical="top" wrapText="1"/>
    </xf>
    <xf numFmtId="166" fontId="1" fillId="3" borderId="0" xfId="0" applyNumberFormat="1" applyFont="1" applyFill="1" applyAlignment="1">
      <alignment horizontal="center"/>
    </xf>
    <xf numFmtId="166" fontId="1" fillId="6" borderId="0" xfId="0" applyNumberFormat="1" applyFont="1" applyFill="1" applyAlignment="1">
      <alignment horizontal="center"/>
    </xf>
    <xf numFmtId="166" fontId="1" fillId="5" borderId="0" xfId="0" applyNumberFormat="1" applyFont="1" applyFill="1" applyAlignment="1">
      <alignment horizontal="center"/>
    </xf>
    <xf numFmtId="166" fontId="1" fillId="4" borderId="0" xfId="0" applyNumberFormat="1" applyFont="1" applyFill="1" applyAlignment="1">
      <alignment horizontal="center"/>
    </xf>
    <xf numFmtId="166" fontId="1" fillId="2" borderId="0" xfId="0" applyNumberFormat="1" applyFont="1" applyFill="1" applyAlignment="1">
      <alignment horizontal="center"/>
    </xf>
    <xf numFmtId="9" fontId="3" fillId="0" borderId="0" xfId="0" applyNumberFormat="1" applyFont="1" applyAlignment="1">
      <alignment horizontal="left"/>
    </xf>
    <xf numFmtId="165" fontId="3" fillId="0" borderId="0" xfId="0" applyNumberFormat="1" applyFont="1" applyAlignment="1">
      <alignment horizontal="left"/>
    </xf>
    <xf numFmtId="0" fontId="3" fillId="2" borderId="3" xfId="0" applyFont="1" applyFill="1" applyBorder="1"/>
    <xf numFmtId="0" fontId="3" fillId="2" borderId="0" xfId="0" applyFont="1" applyFill="1"/>
    <xf numFmtId="9" fontId="3" fillId="2" borderId="0" xfId="0" applyNumberFormat="1" applyFont="1" applyFill="1" applyAlignment="1">
      <alignment horizontal="left"/>
    </xf>
    <xf numFmtId="165" fontId="3" fillId="2" borderId="0" xfId="0" applyNumberFormat="1" applyFont="1" applyFill="1" applyAlignment="1">
      <alignment horizontal="left"/>
    </xf>
    <xf numFmtId="164" fontId="3" fillId="2" borderId="0" xfId="0" applyNumberFormat="1" applyFont="1" applyFill="1" applyAlignment="1">
      <alignment horizontal="center"/>
    </xf>
    <xf numFmtId="0" fontId="3" fillId="0" borderId="3" xfId="0" applyFont="1" applyBorder="1" applyAlignment="1">
      <alignment horizontal="left"/>
    </xf>
    <xf numFmtId="0" fontId="3" fillId="0" borderId="0" xfId="0" applyFont="1" applyAlignment="1">
      <alignment horizontal="left"/>
    </xf>
    <xf numFmtId="164" fontId="2" fillId="0" borderId="0" xfId="0" applyNumberFormat="1" applyFont="1" applyAlignment="1">
      <alignment horizontal="right"/>
    </xf>
    <xf numFmtId="164" fontId="0" fillId="0" borderId="0" xfId="0" applyNumberFormat="1" applyAlignment="1">
      <alignment horizontal="right"/>
    </xf>
    <xf numFmtId="164" fontId="0" fillId="0" borderId="0" xfId="0" applyNumberFormat="1" applyAlignment="1">
      <alignment horizontal="right" wrapText="1"/>
    </xf>
    <xf numFmtId="164" fontId="0" fillId="0" borderId="13" xfId="0" applyNumberFormat="1" applyBorder="1" applyAlignment="1">
      <alignment horizontal="right"/>
    </xf>
    <xf numFmtId="164" fontId="1" fillId="0" borderId="11" xfId="0" applyNumberFormat="1" applyFont="1" applyBorder="1" applyAlignment="1">
      <alignment horizontal="right"/>
    </xf>
    <xf numFmtId="164" fontId="0" fillId="0" borderId="9" xfId="0" applyNumberFormat="1" applyBorder="1" applyAlignment="1">
      <alignment horizontal="right"/>
    </xf>
    <xf numFmtId="164" fontId="1" fillId="0" borderId="0" xfId="0" applyNumberFormat="1" applyFont="1" applyAlignment="1">
      <alignment horizontal="right"/>
    </xf>
    <xf numFmtId="164" fontId="0" fillId="2" borderId="0" xfId="0" applyNumberFormat="1" applyFill="1" applyAlignment="1">
      <alignment horizontal="right"/>
    </xf>
    <xf numFmtId="0" fontId="0" fillId="0" borderId="0" xfId="0" applyAlignment="1">
      <alignment horizontal="right"/>
    </xf>
    <xf numFmtId="165" fontId="0" fillId="0" borderId="0" xfId="0" applyNumberFormat="1" applyAlignment="1">
      <alignment horizontal="right"/>
    </xf>
    <xf numFmtId="165" fontId="0" fillId="2" borderId="0" xfId="0" applyNumberFormat="1" applyFill="1" applyAlignment="1">
      <alignment horizontal="right"/>
    </xf>
    <xf numFmtId="164" fontId="1" fillId="0" borderId="10" xfId="0" applyNumberFormat="1" applyFont="1" applyBorder="1" applyAlignment="1">
      <alignment horizontal="right"/>
    </xf>
    <xf numFmtId="164" fontId="1" fillId="0" borderId="4" xfId="0" applyNumberFormat="1" applyFont="1" applyBorder="1" applyAlignment="1">
      <alignment horizontal="right" wrapText="1"/>
    </xf>
    <xf numFmtId="164" fontId="1" fillId="0" borderId="4" xfId="0" applyNumberFormat="1" applyFont="1" applyBorder="1" applyAlignment="1">
      <alignment horizontal="right"/>
    </xf>
    <xf numFmtId="164" fontId="1" fillId="0" borderId="14" xfId="0" applyNumberFormat="1" applyFont="1" applyBorder="1" applyAlignment="1">
      <alignment horizontal="right"/>
    </xf>
    <xf numFmtId="164" fontId="1" fillId="0" borderId="12" xfId="0" applyNumberFormat="1" applyFont="1" applyBorder="1" applyAlignment="1">
      <alignment horizontal="right"/>
    </xf>
    <xf numFmtId="164" fontId="1" fillId="2" borderId="4" xfId="0" applyNumberFormat="1" applyFont="1" applyFill="1" applyBorder="1" applyAlignment="1">
      <alignment horizontal="right"/>
    </xf>
    <xf numFmtId="9" fontId="0" fillId="0" borderId="9" xfId="0" applyNumberFormat="1" applyBorder="1" applyAlignment="1">
      <alignment horizontal="right"/>
    </xf>
    <xf numFmtId="164" fontId="3" fillId="0" borderId="0" xfId="0" applyNumberFormat="1" applyFont="1" applyAlignment="1">
      <alignment horizontal="right" wrapText="1"/>
    </xf>
    <xf numFmtId="2" fontId="0" fillId="0" borderId="9" xfId="0" applyNumberFormat="1" applyBorder="1" applyAlignment="1">
      <alignment horizontal="right"/>
    </xf>
    <xf numFmtId="166" fontId="0" fillId="0" borderId="0" xfId="0" applyNumberFormat="1"/>
    <xf numFmtId="166" fontId="2" fillId="0" borderId="11" xfId="0" applyNumberFormat="1" applyFont="1" applyBorder="1" applyAlignment="1">
      <alignment horizontal="center" vertical="top" wrapText="1"/>
    </xf>
    <xf numFmtId="166" fontId="0" fillId="3" borderId="0" xfId="0" applyNumberFormat="1" applyFill="1"/>
    <xf numFmtId="166" fontId="0" fillId="6" borderId="0" xfId="0" applyNumberFormat="1" applyFill="1"/>
    <xf numFmtId="166" fontId="0" fillId="5" borderId="0" xfId="0" applyNumberFormat="1" applyFill="1"/>
    <xf numFmtId="166" fontId="0" fillId="4" borderId="0" xfId="0" applyNumberFormat="1" applyFill="1"/>
    <xf numFmtId="166" fontId="0" fillId="2" borderId="0" xfId="0" applyNumberFormat="1" applyFill="1"/>
    <xf numFmtId="166" fontId="1" fillId="0" borderId="0" xfId="0" applyNumberFormat="1" applyFont="1"/>
    <xf numFmtId="0" fontId="2" fillId="0" borderId="3" xfId="0" applyFont="1" applyBorder="1" applyAlignment="1">
      <alignment horizontal="left"/>
    </xf>
    <xf numFmtId="0" fontId="0" fillId="0" borderId="3" xfId="0" applyBorder="1" applyAlignment="1">
      <alignment horizontal="left"/>
    </xf>
    <xf numFmtId="0" fontId="0" fillId="0" borderId="0" xfId="0" applyAlignment="1">
      <alignment horizontal="left"/>
    </xf>
    <xf numFmtId="10" fontId="0" fillId="0" borderId="17" xfId="0" applyNumberFormat="1" applyBorder="1"/>
    <xf numFmtId="10" fontId="0" fillId="0" borderId="18" xfId="0" applyNumberFormat="1" applyBorder="1"/>
    <xf numFmtId="165" fontId="0" fillId="0" borderId="15" xfId="0" applyNumberFormat="1" applyBorder="1" applyAlignment="1">
      <alignment horizontal="center"/>
    </xf>
    <xf numFmtId="164" fontId="0" fillId="0" borderId="15" xfId="0" applyNumberFormat="1" applyBorder="1" applyAlignment="1">
      <alignment horizontal="center"/>
    </xf>
    <xf numFmtId="164" fontId="0" fillId="0" borderId="15" xfId="0" applyNumberFormat="1" applyBorder="1" applyAlignment="1">
      <alignment horizontal="right"/>
    </xf>
    <xf numFmtId="164" fontId="0" fillId="2" borderId="15" xfId="0" applyNumberFormat="1" applyFill="1" applyBorder="1" applyAlignment="1">
      <alignment horizontal="center"/>
    </xf>
    <xf numFmtId="2" fontId="0" fillId="0" borderId="15" xfId="0" applyNumberFormat="1" applyBorder="1" applyAlignment="1">
      <alignment horizontal="center"/>
    </xf>
    <xf numFmtId="164" fontId="1" fillId="0" borderId="19" xfId="0" applyNumberFormat="1" applyFont="1" applyBorder="1" applyAlignment="1">
      <alignment horizontal="right"/>
    </xf>
    <xf numFmtId="166" fontId="0" fillId="0" borderId="15" xfId="0" applyNumberFormat="1" applyBorder="1" applyAlignment="1">
      <alignment horizontal="center"/>
    </xf>
    <xf numFmtId="0" fontId="0" fillId="7" borderId="0" xfId="0" applyFill="1"/>
    <xf numFmtId="2" fontId="0" fillId="7" borderId="0" xfId="0" applyNumberFormat="1" applyFill="1" applyAlignment="1">
      <alignment horizontal="center"/>
    </xf>
    <xf numFmtId="166" fontId="0" fillId="7" borderId="0" xfId="0" applyNumberFormat="1" applyFill="1" applyAlignment="1">
      <alignment horizontal="center"/>
    </xf>
    <xf numFmtId="166" fontId="1" fillId="7" borderId="0" xfId="0" applyNumberFormat="1" applyFont="1" applyFill="1" applyAlignment="1">
      <alignment horizontal="center"/>
    </xf>
    <xf numFmtId="166" fontId="0" fillId="7" borderId="0" xfId="0" applyNumberFormat="1" applyFill="1"/>
    <xf numFmtId="9" fontId="0" fillId="8" borderId="0" xfId="0" applyNumberFormat="1" applyFill="1" applyAlignment="1">
      <alignment horizontal="left"/>
    </xf>
    <xf numFmtId="0" fontId="1" fillId="8" borderId="0" xfId="0" applyFont="1" applyFill="1"/>
    <xf numFmtId="0" fontId="0" fillId="8" borderId="0" xfId="0" applyFill="1"/>
    <xf numFmtId="165" fontId="0" fillId="8" borderId="0" xfId="0" applyNumberFormat="1" applyFill="1" applyAlignment="1">
      <alignment horizontal="left"/>
    </xf>
    <xf numFmtId="164" fontId="0" fillId="8" borderId="0" xfId="0" applyNumberFormat="1" applyFill="1" applyAlignment="1">
      <alignment horizontal="center"/>
    </xf>
    <xf numFmtId="164" fontId="0" fillId="8" borderId="0" xfId="0" applyNumberFormat="1" applyFill="1" applyAlignment="1">
      <alignment horizontal="right"/>
    </xf>
    <xf numFmtId="166" fontId="0" fillId="8" borderId="0" xfId="0" applyNumberFormat="1" applyFill="1" applyAlignment="1">
      <alignment horizontal="center"/>
    </xf>
    <xf numFmtId="10" fontId="0" fillId="8" borderId="6" xfId="0" applyNumberFormat="1" applyFill="1" applyBorder="1"/>
    <xf numFmtId="0" fontId="0" fillId="0" borderId="13" xfId="0" applyBorder="1" applyAlignment="1">
      <alignment horizontal="left"/>
    </xf>
    <xf numFmtId="0" fontId="3" fillId="0" borderId="13" xfId="0" applyFont="1" applyBorder="1" applyAlignment="1">
      <alignment horizontal="left"/>
    </xf>
    <xf numFmtId="0" fontId="1" fillId="9" borderId="0" xfId="0" applyFont="1" applyFill="1"/>
    <xf numFmtId="0" fontId="0" fillId="9" borderId="0" xfId="0" applyFill="1"/>
    <xf numFmtId="9" fontId="0" fillId="9" borderId="0" xfId="0" applyNumberFormat="1" applyFill="1" applyAlignment="1">
      <alignment horizontal="left"/>
    </xf>
    <xf numFmtId="0" fontId="1" fillId="11" borderId="0" xfId="0" applyFont="1" applyFill="1"/>
    <xf numFmtId="0" fontId="0" fillId="11" borderId="0" xfId="0" applyFill="1"/>
    <xf numFmtId="9" fontId="0" fillId="11" borderId="0" xfId="0" applyNumberFormat="1" applyFill="1" applyAlignment="1">
      <alignment horizontal="left"/>
    </xf>
    <xf numFmtId="165" fontId="0" fillId="11" borderId="0" xfId="0" applyNumberFormat="1" applyFill="1" applyAlignment="1">
      <alignment horizontal="left"/>
    </xf>
    <xf numFmtId="164" fontId="0" fillId="11" borderId="0" xfId="0" applyNumberFormat="1" applyFill="1" applyAlignment="1">
      <alignment horizontal="center"/>
    </xf>
    <xf numFmtId="166" fontId="0" fillId="11" borderId="0" xfId="0" applyNumberFormat="1" applyFill="1" applyAlignment="1">
      <alignment horizontal="center"/>
    </xf>
    <xf numFmtId="2" fontId="0" fillId="11" borderId="0" xfId="0" applyNumberFormat="1" applyFill="1" applyAlignment="1">
      <alignment horizontal="center"/>
    </xf>
    <xf numFmtId="165" fontId="0" fillId="11" borderId="0" xfId="0" applyNumberFormat="1" applyFill="1" applyAlignment="1">
      <alignment horizontal="center"/>
    </xf>
    <xf numFmtId="9" fontId="2" fillId="0" borderId="0" xfId="0" applyNumberFormat="1" applyFont="1" applyAlignment="1">
      <alignment horizontal="center"/>
    </xf>
    <xf numFmtId="9" fontId="0" fillId="0" borderId="0" xfId="0" applyNumberFormat="1"/>
    <xf numFmtId="9" fontId="1" fillId="0" borderId="0" xfId="0" applyNumberFormat="1" applyFont="1" applyAlignment="1">
      <alignment horizontal="center" wrapText="1"/>
    </xf>
    <xf numFmtId="9" fontId="0" fillId="0" borderId="0" xfId="0" applyNumberFormat="1" applyAlignment="1">
      <alignment horizontal="center" wrapText="1"/>
    </xf>
    <xf numFmtId="9" fontId="3" fillId="0" borderId="0" xfId="0" applyNumberFormat="1" applyFont="1" applyAlignment="1">
      <alignment horizontal="center"/>
    </xf>
    <xf numFmtId="9" fontId="0" fillId="0" borderId="13" xfId="0" applyNumberFormat="1" applyBorder="1" applyAlignment="1">
      <alignment horizontal="center"/>
    </xf>
    <xf numFmtId="9" fontId="0" fillId="0" borderId="0" xfId="0" applyNumberFormat="1" applyAlignment="1">
      <alignment horizontal="center"/>
    </xf>
    <xf numFmtId="9" fontId="0" fillId="0" borderId="15" xfId="0" applyNumberFormat="1" applyBorder="1" applyAlignment="1">
      <alignment horizontal="center"/>
    </xf>
    <xf numFmtId="0" fontId="0" fillId="0" borderId="3" xfId="0" applyBorder="1" applyAlignment="1">
      <alignment horizontal="left"/>
    </xf>
    <xf numFmtId="0" fontId="0" fillId="0" borderId="0" xfId="0" applyAlignment="1">
      <alignment horizontal="left"/>
    </xf>
    <xf numFmtId="0" fontId="0" fillId="0" borderId="20" xfId="0" applyBorder="1" applyAlignment="1">
      <alignment horizontal="left"/>
    </xf>
    <xf numFmtId="0" fontId="0" fillId="0" borderId="13" xfId="0" applyBorder="1" applyAlignment="1">
      <alignment horizontal="left"/>
    </xf>
    <xf numFmtId="0" fontId="3" fillId="0" borderId="0" xfId="0" applyFont="1"/>
    <xf numFmtId="0" fontId="3" fillId="10" borderId="3" xfId="0" applyFont="1" applyFill="1" applyBorder="1" applyAlignment="1">
      <alignment horizontal="left"/>
    </xf>
    <xf numFmtId="0" fontId="3" fillId="10" borderId="0" xfId="0" applyFont="1" applyFill="1" applyAlignment="1">
      <alignment horizontal="left"/>
    </xf>
    <xf numFmtId="0" fontId="3" fillId="0" borderId="3" xfId="0" applyFont="1" applyBorder="1" applyAlignment="1">
      <alignment horizontal="left"/>
    </xf>
    <xf numFmtId="0" fontId="3" fillId="0" borderId="0" xfId="0" applyFont="1" applyAlignment="1">
      <alignment horizontal="left"/>
    </xf>
    <xf numFmtId="0" fontId="1" fillId="0" borderId="3" xfId="0" applyFont="1" applyBorder="1"/>
    <xf numFmtId="0" fontId="1" fillId="0" borderId="0" xfId="0" applyFont="1"/>
    <xf numFmtId="0" fontId="1" fillId="0" borderId="6" xfId="0" applyFont="1" applyBorder="1"/>
    <xf numFmtId="0" fontId="1" fillId="0" borderId="11" xfId="0" applyFont="1" applyBorder="1"/>
    <xf numFmtId="0" fontId="2" fillId="0" borderId="3" xfId="0" applyFont="1" applyBorder="1" applyAlignment="1">
      <alignment horizontal="left"/>
    </xf>
    <xf numFmtId="0" fontId="2" fillId="0" borderId="0" xfId="0" applyFont="1" applyAlignment="1">
      <alignment horizontal="left"/>
    </xf>
    <xf numFmtId="0" fontId="1" fillId="0" borderId="6" xfId="0" applyFont="1" applyBorder="1" applyAlignment="1">
      <alignment horizontal="left"/>
    </xf>
    <xf numFmtId="0" fontId="1" fillId="0" borderId="11" xfId="0" applyFont="1" applyBorder="1" applyAlignment="1">
      <alignment horizontal="left"/>
    </xf>
    <xf numFmtId="0" fontId="1" fillId="8" borderId="3" xfId="0" applyFont="1" applyFill="1" applyBorder="1" applyAlignment="1">
      <alignment horizontal="left"/>
    </xf>
    <xf numFmtId="0" fontId="1" fillId="8" borderId="0" xfId="0" applyFont="1" applyFill="1" applyAlignment="1">
      <alignment horizontal="left"/>
    </xf>
    <xf numFmtId="0" fontId="1" fillId="0" borderId="3" xfId="0" applyFont="1" applyBorder="1" applyAlignment="1">
      <alignment horizontal="left"/>
    </xf>
    <xf numFmtId="0" fontId="1" fillId="0" borderId="0" xfId="0" applyFont="1" applyAlignment="1">
      <alignment horizontal="left"/>
    </xf>
    <xf numFmtId="0" fontId="3" fillId="0" borderId="20" xfId="0" applyFont="1" applyBorder="1" applyAlignment="1">
      <alignment horizontal="left"/>
    </xf>
    <xf numFmtId="0" fontId="3" fillId="0" borderId="13" xfId="0" applyFont="1" applyBorder="1" applyAlignment="1">
      <alignment horizontal="left"/>
    </xf>
    <xf numFmtId="0" fontId="3" fillId="0" borderId="16" xfId="0" applyFont="1" applyBorder="1" applyAlignment="1">
      <alignment horizontal="left"/>
    </xf>
    <xf numFmtId="0" fontId="3" fillId="0" borderId="15" xfId="0" applyFont="1" applyBorder="1" applyAlignment="1">
      <alignment horizontal="left"/>
    </xf>
    <xf numFmtId="2" fontId="1" fillId="0" borderId="9" xfId="0" applyNumberFormat="1" applyFont="1" applyBorder="1" applyAlignment="1">
      <alignment horizontal="center"/>
    </xf>
    <xf numFmtId="14" fontId="2" fillId="0" borderId="0" xfId="0" applyNumberFormat="1" applyFont="1" applyAlignment="1">
      <alignment horizontal="left"/>
    </xf>
    <xf numFmtId="0" fontId="1" fillId="0" borderId="3" xfId="0" applyFont="1" applyBorder="1" applyAlignment="1">
      <alignment horizontal="center"/>
    </xf>
    <xf numFmtId="0" fontId="1" fillId="0" borderId="0" xfId="0" applyFont="1" applyAlignment="1">
      <alignment horizontal="center"/>
    </xf>
    <xf numFmtId="9" fontId="1" fillId="0" borderId="9" xfId="0" applyNumberFormat="1" applyFont="1" applyBorder="1" applyAlignment="1">
      <alignment horizontal="center"/>
    </xf>
    <xf numFmtId="0" fontId="2" fillId="0" borderId="3" xfId="0" applyFont="1" applyBorder="1"/>
    <xf numFmtId="0" fontId="2" fillId="0" borderId="0" xfId="0" applyFont="1"/>
    <xf numFmtId="0" fontId="0" fillId="0" borderId="3" xfId="0" applyBorder="1"/>
    <xf numFmtId="0" fontId="0" fillId="0" borderId="13" xfId="0" applyBorder="1"/>
    <xf numFmtId="0" fontId="3" fillId="0" borderId="15" xfId="0" applyFont="1" applyBorder="1"/>
    <xf numFmtId="0" fontId="0" fillId="0" borderId="20" xfId="0" applyBorder="1"/>
    <xf numFmtId="0" fontId="0" fillId="0" borderId="16" xfId="0" applyBorder="1" applyAlignment="1">
      <alignment horizontal="left"/>
    </xf>
    <xf numFmtId="0" fontId="0" fillId="0" borderId="15" xfId="0" applyBorder="1" applyAlignment="1">
      <alignment horizontal="left"/>
    </xf>
    <xf numFmtId="0" fontId="1" fillId="10" borderId="3" xfId="0" applyFont="1" applyFill="1" applyBorder="1" applyAlignment="1">
      <alignment horizontal="left"/>
    </xf>
    <xf numFmtId="0" fontId="1" fillId="10" borderId="0" xfId="0" applyFont="1" applyFill="1" applyAlignment="1">
      <alignment horizontal="left"/>
    </xf>
    <xf numFmtId="0" fontId="3" fillId="0" borderId="21" xfId="0" applyFont="1" applyBorder="1" applyAlignment="1">
      <alignment horizontal="left" vertical="top" wrapText="1"/>
    </xf>
    <xf numFmtId="0" fontId="3" fillId="0" borderId="22" xfId="0" applyFont="1" applyBorder="1" applyAlignment="1">
      <alignment horizontal="left" vertical="top" wrapText="1"/>
    </xf>
    <xf numFmtId="0" fontId="3" fillId="0" borderId="23" xfId="0" applyFont="1" applyBorder="1" applyAlignment="1">
      <alignment horizontal="left" vertical="top" wrapText="1"/>
    </xf>
    <xf numFmtId="0" fontId="1" fillId="9" borderId="6" xfId="0" applyFont="1" applyFill="1" applyBorder="1" applyAlignment="1">
      <alignment horizontal="left"/>
    </xf>
    <xf numFmtId="0" fontId="1" fillId="9" borderId="11" xfId="0" applyFont="1" applyFill="1" applyBorder="1" applyAlignment="1">
      <alignment horizontal="left"/>
    </xf>
    <xf numFmtId="0" fontId="0" fillId="11" borderId="0" xfId="0" applyFill="1" applyAlignment="1">
      <alignment horizontal="center" wrapText="1"/>
    </xf>
    <xf numFmtId="0" fontId="1" fillId="0" borderId="9" xfId="0" applyFont="1" applyBorder="1" applyAlignment="1">
      <alignment horizontal="center"/>
    </xf>
    <xf numFmtId="0" fontId="1" fillId="0" borderId="10" xfId="0" applyFont="1" applyBorder="1" applyAlignment="1">
      <alignment horizontal="center"/>
    </xf>
    <xf numFmtId="0" fontId="0" fillId="8" borderId="0" xfId="0" applyFill="1" applyAlignment="1">
      <alignment horizontal="center" wrapText="1"/>
    </xf>
  </cellXfs>
  <cellStyles count="1">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pageSetUpPr fitToPage="1"/>
  </sheetPr>
  <dimension ref="A1:AQ93"/>
  <sheetViews>
    <sheetView tabSelected="1" topLeftCell="A76" zoomScale="90" zoomScaleNormal="90" workbookViewId="0">
      <selection activeCell="G75" sqref="G75"/>
    </sheetView>
  </sheetViews>
  <sheetFormatPr defaultRowHeight="13" x14ac:dyDescent="0.6"/>
  <cols>
    <col min="1" max="2" width="18.26953125" customWidth="1"/>
    <col min="3" max="4" width="10.7265625" style="11" customWidth="1"/>
    <col min="5" max="5" width="10.7265625" style="78" customWidth="1"/>
    <col min="6" max="6" width="10.7265625" style="4" customWidth="1"/>
    <col min="7" max="7" width="10.7265625" style="136" customWidth="1"/>
    <col min="8" max="9" width="10.7265625" style="136" hidden="1" customWidth="1"/>
    <col min="10" max="10" width="1.40625" style="4" customWidth="1"/>
    <col min="11" max="11" width="10.7265625" style="12" customWidth="1"/>
    <col min="12" max="12" width="10.7265625" style="11" customWidth="1"/>
    <col min="13" max="13" width="10.7265625" style="58" customWidth="1"/>
    <col min="14" max="14" width="10.7265625" style="4" customWidth="1"/>
    <col min="15" max="15" width="10.7265625" style="136" customWidth="1"/>
    <col min="16" max="17" width="10.7265625" style="136" hidden="1" customWidth="1"/>
    <col min="18" max="18" width="1.40625" style="4" customWidth="1"/>
    <col min="19" max="19" width="10.7265625" style="12" customWidth="1"/>
    <col min="20" max="20" width="10.7265625" style="11" customWidth="1"/>
    <col min="21" max="21" width="10.7265625" style="58" customWidth="1"/>
    <col min="22" max="22" width="10.7265625" style="4" customWidth="1"/>
    <col min="23" max="23" width="10.7265625" style="136" customWidth="1"/>
    <col min="24" max="24" width="11.26953125" style="136" hidden="1" customWidth="1"/>
    <col min="25" max="25" width="10.7265625" style="136" hidden="1" customWidth="1"/>
    <col min="26" max="26" width="1.40625" style="4" customWidth="1"/>
    <col min="27" max="27" width="10.7265625" style="12" hidden="1" customWidth="1"/>
    <col min="28" max="28" width="10.7265625" style="11" hidden="1" customWidth="1"/>
    <col min="29" max="29" width="10.7265625" style="58" hidden="1" customWidth="1"/>
    <col min="30" max="30" width="10.7265625" style="4" hidden="1" customWidth="1"/>
    <col min="31" max="33" width="10.7265625" style="136" hidden="1" customWidth="1"/>
    <col min="34" max="34" width="1.40625" style="4" hidden="1" customWidth="1"/>
    <col min="35" max="35" width="10.7265625" style="12" hidden="1" customWidth="1"/>
    <col min="36" max="36" width="10.7265625" style="11" hidden="1" customWidth="1"/>
    <col min="37" max="37" width="10.7265625" style="58" hidden="1" customWidth="1"/>
    <col min="38" max="38" width="10.7265625" style="4" hidden="1" customWidth="1"/>
    <col min="39" max="41" width="10.7265625" style="136" hidden="1" customWidth="1"/>
    <col min="42" max="42" width="1.40625" style="4" hidden="1" customWidth="1"/>
    <col min="43" max="43" width="10.7265625" style="141" customWidth="1"/>
  </cols>
  <sheetData>
    <row r="1" spans="1:43" s="2" customFormat="1" ht="15.5" x14ac:dyDescent="0.7">
      <c r="A1" s="2" t="s">
        <v>18</v>
      </c>
      <c r="B1" s="223" t="s">
        <v>95</v>
      </c>
      <c r="C1" s="223"/>
      <c r="D1" s="223"/>
      <c r="E1" s="223"/>
      <c r="F1" s="223"/>
      <c r="G1" s="135"/>
      <c r="H1" s="135"/>
      <c r="I1" s="135"/>
      <c r="J1" s="3"/>
      <c r="K1" s="13"/>
      <c r="L1" s="201"/>
      <c r="M1" s="87"/>
      <c r="N1" s="3"/>
      <c r="O1" s="135"/>
      <c r="P1" s="135"/>
      <c r="Q1" s="135"/>
      <c r="R1" s="3"/>
      <c r="S1" s="13"/>
      <c r="T1" s="201"/>
      <c r="U1" s="87"/>
      <c r="V1" s="3"/>
      <c r="W1" s="135"/>
      <c r="X1" s="135"/>
      <c r="Y1" s="135"/>
      <c r="Z1" s="3"/>
      <c r="AA1" s="13"/>
      <c r="AB1" s="201"/>
      <c r="AC1" s="87"/>
      <c r="AD1" s="3"/>
      <c r="AE1" s="135"/>
      <c r="AF1" s="135"/>
      <c r="AG1" s="135"/>
      <c r="AH1" s="3"/>
      <c r="AI1" s="13"/>
      <c r="AJ1" s="201"/>
      <c r="AK1" s="87"/>
      <c r="AL1" s="3"/>
      <c r="AM1" s="135"/>
      <c r="AN1" s="135"/>
      <c r="AO1" s="135"/>
      <c r="AP1" s="3"/>
      <c r="AQ1" s="135"/>
    </row>
    <row r="2" spans="1:43" ht="15.5" x14ac:dyDescent="0.7">
      <c r="A2" s="2" t="s">
        <v>19</v>
      </c>
      <c r="B2" s="223" t="s">
        <v>97</v>
      </c>
      <c r="C2" s="223"/>
      <c r="D2" s="223"/>
      <c r="E2" s="223"/>
      <c r="F2" s="223"/>
      <c r="G2" s="223"/>
      <c r="H2" s="223"/>
      <c r="I2" s="223"/>
      <c r="J2"/>
      <c r="K2"/>
      <c r="L2" s="202"/>
      <c r="M2" s="88"/>
      <c r="N2"/>
      <c r="O2" s="143"/>
      <c r="P2" s="143"/>
      <c r="Q2" s="143"/>
      <c r="R2"/>
      <c r="S2"/>
      <c r="T2" s="202"/>
      <c r="U2" s="88"/>
      <c r="V2"/>
      <c r="W2" s="143"/>
      <c r="X2" s="143"/>
      <c r="Y2" s="143"/>
      <c r="Z2"/>
      <c r="AA2"/>
      <c r="AB2" s="202"/>
      <c r="AC2" s="88"/>
      <c r="AD2"/>
      <c r="AE2" s="143"/>
      <c r="AF2" s="143"/>
      <c r="AG2" s="143"/>
      <c r="AH2"/>
      <c r="AI2"/>
      <c r="AJ2" s="202"/>
      <c r="AK2" s="88"/>
      <c r="AL2"/>
      <c r="AM2" s="143"/>
      <c r="AN2" s="143"/>
      <c r="AO2" s="143"/>
      <c r="AP2"/>
      <c r="AQ2" s="143"/>
    </row>
    <row r="3" spans="1:43" ht="15.5" x14ac:dyDescent="0.7">
      <c r="A3" s="2" t="s">
        <v>32</v>
      </c>
      <c r="B3" s="235" t="s">
        <v>98</v>
      </c>
      <c r="C3" s="235"/>
      <c r="D3" s="235"/>
      <c r="E3" s="235"/>
      <c r="F3" s="235"/>
    </row>
    <row r="4" spans="1:43" ht="13.75" thickBot="1" x14ac:dyDescent="0.75">
      <c r="A4" s="1"/>
      <c r="B4" s="17"/>
    </row>
    <row r="5" spans="1:43" ht="15" customHeight="1" x14ac:dyDescent="0.6">
      <c r="A5" s="30"/>
      <c r="B5" s="31"/>
      <c r="C5" s="238" t="s">
        <v>10</v>
      </c>
      <c r="D5" s="238"/>
      <c r="E5" s="238"/>
      <c r="F5" s="238"/>
      <c r="G5" s="238"/>
      <c r="H5" s="152"/>
      <c r="I5" s="152"/>
      <c r="J5" s="32"/>
      <c r="K5" s="234" t="s">
        <v>11</v>
      </c>
      <c r="L5" s="234"/>
      <c r="M5" s="234"/>
      <c r="N5" s="234"/>
      <c r="O5" s="234"/>
      <c r="P5" s="154"/>
      <c r="Q5" s="152"/>
      <c r="R5" s="34"/>
      <c r="S5" s="234" t="s">
        <v>12</v>
      </c>
      <c r="T5" s="234"/>
      <c r="U5" s="234"/>
      <c r="V5" s="234"/>
      <c r="W5" s="234"/>
      <c r="X5" s="154"/>
      <c r="Y5" s="152"/>
      <c r="Z5" s="34"/>
      <c r="AA5" s="234" t="s">
        <v>13</v>
      </c>
      <c r="AB5" s="234"/>
      <c r="AC5" s="234"/>
      <c r="AD5" s="234"/>
      <c r="AE5" s="234"/>
      <c r="AF5" s="154"/>
      <c r="AG5" s="152"/>
      <c r="AH5" s="34"/>
      <c r="AI5" s="234" t="s">
        <v>14</v>
      </c>
      <c r="AJ5" s="234"/>
      <c r="AK5" s="234"/>
      <c r="AL5" s="234"/>
      <c r="AM5" s="234"/>
      <c r="AN5" s="154"/>
      <c r="AO5" s="152"/>
      <c r="AP5" s="60"/>
      <c r="AQ5" s="146"/>
    </row>
    <row r="6" spans="1:43" s="16" customFormat="1" ht="26" x14ac:dyDescent="0.6">
      <c r="A6" s="236"/>
      <c r="B6" s="237"/>
      <c r="C6" s="74" t="s">
        <v>17</v>
      </c>
      <c r="D6" s="203" t="s">
        <v>53</v>
      </c>
      <c r="E6" s="79" t="s">
        <v>26</v>
      </c>
      <c r="F6" s="75" t="s">
        <v>16</v>
      </c>
      <c r="G6" s="75" t="s">
        <v>2</v>
      </c>
      <c r="H6" s="75" t="s">
        <v>31</v>
      </c>
      <c r="I6" s="75" t="s">
        <v>34</v>
      </c>
      <c r="J6" s="38"/>
      <c r="K6" s="76" t="s">
        <v>17</v>
      </c>
      <c r="L6" s="203" t="s">
        <v>53</v>
      </c>
      <c r="M6" s="79" t="s">
        <v>26</v>
      </c>
      <c r="N6" s="75" t="s">
        <v>16</v>
      </c>
      <c r="O6" s="75" t="s">
        <v>2</v>
      </c>
      <c r="P6" s="75" t="s">
        <v>31</v>
      </c>
      <c r="Q6" s="75" t="s">
        <v>34</v>
      </c>
      <c r="R6" s="38"/>
      <c r="S6" s="76" t="s">
        <v>17</v>
      </c>
      <c r="T6" s="203" t="s">
        <v>53</v>
      </c>
      <c r="U6" s="79" t="s">
        <v>26</v>
      </c>
      <c r="V6" s="75" t="s">
        <v>16</v>
      </c>
      <c r="W6" s="75" t="s">
        <v>2</v>
      </c>
      <c r="X6" s="75" t="s">
        <v>31</v>
      </c>
      <c r="Y6" s="75" t="s">
        <v>34</v>
      </c>
      <c r="Z6" s="77"/>
      <c r="AA6" s="76" t="s">
        <v>17</v>
      </c>
      <c r="AB6" s="203" t="s">
        <v>53</v>
      </c>
      <c r="AC6" s="79" t="s">
        <v>26</v>
      </c>
      <c r="AD6" s="75" t="s">
        <v>16</v>
      </c>
      <c r="AE6" s="75" t="s">
        <v>2</v>
      </c>
      <c r="AF6" s="75" t="s">
        <v>31</v>
      </c>
      <c r="AG6" s="75" t="s">
        <v>34</v>
      </c>
      <c r="AH6" s="77"/>
      <c r="AI6" s="76" t="s">
        <v>17</v>
      </c>
      <c r="AJ6" s="203" t="s">
        <v>53</v>
      </c>
      <c r="AK6" s="79" t="s">
        <v>26</v>
      </c>
      <c r="AL6" s="75" t="s">
        <v>16</v>
      </c>
      <c r="AM6" s="75" t="s">
        <v>2</v>
      </c>
      <c r="AN6" s="75" t="s">
        <v>31</v>
      </c>
      <c r="AO6" s="75" t="s">
        <v>34</v>
      </c>
      <c r="AP6" s="56"/>
      <c r="AQ6" s="40" t="s">
        <v>2</v>
      </c>
    </row>
    <row r="7" spans="1:43" s="14" customFormat="1" ht="15" customHeight="1" x14ac:dyDescent="0.7">
      <c r="A7" s="222" t="s">
        <v>20</v>
      </c>
      <c r="B7" s="223"/>
      <c r="C7" s="37"/>
      <c r="D7" s="204"/>
      <c r="E7" s="80"/>
      <c r="F7" s="15"/>
      <c r="G7" s="137"/>
      <c r="H7" s="137"/>
      <c r="I7" s="153"/>
      <c r="J7" s="38"/>
      <c r="K7" s="39"/>
      <c r="L7" s="204"/>
      <c r="M7" s="80"/>
      <c r="N7" s="15"/>
      <c r="O7" s="137"/>
      <c r="P7" s="137"/>
      <c r="Q7" s="153"/>
      <c r="R7" s="38"/>
      <c r="S7" s="39"/>
      <c r="T7" s="204"/>
      <c r="U7" s="80"/>
      <c r="V7" s="15"/>
      <c r="W7" s="137"/>
      <c r="X7" s="137"/>
      <c r="Y7" s="153"/>
      <c r="Z7" s="38"/>
      <c r="AA7" s="39"/>
      <c r="AB7" s="204"/>
      <c r="AC7" s="80"/>
      <c r="AD7" s="15"/>
      <c r="AE7" s="137"/>
      <c r="AF7" s="137"/>
      <c r="AG7" s="153"/>
      <c r="AH7" s="38"/>
      <c r="AI7" s="39"/>
      <c r="AJ7" s="204"/>
      <c r="AK7" s="80"/>
      <c r="AL7" s="15"/>
      <c r="AM7" s="137"/>
      <c r="AN7" s="137"/>
      <c r="AO7" s="153"/>
      <c r="AP7" s="18"/>
      <c r="AQ7" s="147"/>
    </row>
    <row r="8" spans="1:43" s="6" customFormat="1" ht="15" customHeight="1" thickBot="1" x14ac:dyDescent="0.75">
      <c r="A8" s="133" t="s">
        <v>94</v>
      </c>
      <c r="B8" s="134"/>
      <c r="C8" s="41">
        <v>0</v>
      </c>
      <c r="D8" s="205">
        <f>C8/9</f>
        <v>0</v>
      </c>
      <c r="E8" s="81">
        <f>149200*1.03</f>
        <v>153676</v>
      </c>
      <c r="F8" s="19">
        <f>E8/9</f>
        <v>17075.111111111109</v>
      </c>
      <c r="G8" s="136">
        <f t="shared" ref="G8:G17" si="0">ROUND(F8*C8, 0)</f>
        <v>0</v>
      </c>
      <c r="H8" s="136">
        <f>ROUND(G8*Rates!B$3, 0)</f>
        <v>0</v>
      </c>
      <c r="I8" s="136">
        <f t="shared" ref="I8:I17" si="1">G8+H8</f>
        <v>0</v>
      </c>
      <c r="J8" s="18"/>
      <c r="K8" s="41">
        <v>0</v>
      </c>
      <c r="L8" s="205">
        <f>K8/9</f>
        <v>0</v>
      </c>
      <c r="M8" s="81">
        <v>0</v>
      </c>
      <c r="N8" s="19">
        <f>M8/9</f>
        <v>0</v>
      </c>
      <c r="O8" s="136">
        <f t="shared" ref="O8:O17" si="2">ROUND(N8*K8, 0)</f>
        <v>0</v>
      </c>
      <c r="P8" s="136">
        <f>ROUND(O8*Rates!C$3, 0)</f>
        <v>0</v>
      </c>
      <c r="Q8" s="136">
        <f t="shared" ref="Q8:Q17" si="3">O8+P8</f>
        <v>0</v>
      </c>
      <c r="R8" s="18"/>
      <c r="S8" s="41">
        <v>0</v>
      </c>
      <c r="T8" s="205">
        <f>S8/9</f>
        <v>0</v>
      </c>
      <c r="U8" s="81">
        <f t="shared" ref="U8:U17" si="4">M8*1.02</f>
        <v>0</v>
      </c>
      <c r="V8" s="19">
        <f>U8/9</f>
        <v>0</v>
      </c>
      <c r="W8" s="136">
        <f t="shared" ref="W8:W17" si="5">ROUND(V8*S8, 0)</f>
        <v>0</v>
      </c>
      <c r="X8" s="136">
        <f>ROUND(W8*Rates!D$3, 0)</f>
        <v>0</v>
      </c>
      <c r="Y8" s="136">
        <f t="shared" ref="Y8:Y17" si="6">W8+X8</f>
        <v>0</v>
      </c>
      <c r="Z8" s="18"/>
      <c r="AA8" s="41">
        <v>0</v>
      </c>
      <c r="AB8" s="205">
        <f>AA8/9</f>
        <v>0</v>
      </c>
      <c r="AC8" s="81">
        <f t="shared" ref="AC8:AC17" si="7">U8*1.02</f>
        <v>0</v>
      </c>
      <c r="AD8" s="19">
        <f>AC8/9</f>
        <v>0</v>
      </c>
      <c r="AE8" s="136">
        <f t="shared" ref="AE8:AE17" si="8">ROUND(AD8*AA8, 0)</f>
        <v>0</v>
      </c>
      <c r="AF8" s="136">
        <f>ROUND(AE8*Rates!E$3, 0)</f>
        <v>0</v>
      </c>
      <c r="AG8" s="136">
        <f t="shared" ref="AG8:AG17" si="9">AE8+AF8</f>
        <v>0</v>
      </c>
      <c r="AH8" s="18"/>
      <c r="AI8" s="41">
        <v>0</v>
      </c>
      <c r="AJ8" s="205">
        <f>AI8/9</f>
        <v>0</v>
      </c>
      <c r="AK8" s="81">
        <f t="shared" ref="AK8:AK17" si="10">AC8*1.02</f>
        <v>0</v>
      </c>
      <c r="AL8" s="19">
        <f>AK8/9</f>
        <v>0</v>
      </c>
      <c r="AM8" s="136">
        <f t="shared" ref="AM8:AM17" si="11">ROUND(AL8*AI8, 0)</f>
        <v>0</v>
      </c>
      <c r="AN8" s="136">
        <f>ROUND(AM8*Rates!F$3, 0)</f>
        <v>0</v>
      </c>
      <c r="AO8" s="136">
        <f t="shared" ref="AO8:AO17" si="12">AM8+AN8</f>
        <v>0</v>
      </c>
      <c r="AP8" s="38"/>
      <c r="AQ8" s="148">
        <f t="shared" ref="AQ8:AQ20" si="13">SUM(G8+O8+W8+AE8+AM8)</f>
        <v>0</v>
      </c>
    </row>
    <row r="9" spans="1:43" s="6" customFormat="1" ht="15" hidden="1" customHeight="1" thickBot="1" x14ac:dyDescent="0.75">
      <c r="A9" s="133" t="s">
        <v>22</v>
      </c>
      <c r="B9" s="134"/>
      <c r="C9" s="41">
        <v>0</v>
      </c>
      <c r="D9" s="205">
        <f>C9/9</f>
        <v>0</v>
      </c>
      <c r="E9" s="81">
        <v>0</v>
      </c>
      <c r="F9" s="19">
        <f>E9/9</f>
        <v>0</v>
      </c>
      <c r="G9" s="136">
        <f t="shared" si="0"/>
        <v>0</v>
      </c>
      <c r="H9" s="136">
        <f>ROUND(G9*Rates!B$3, 0)</f>
        <v>0</v>
      </c>
      <c r="I9" s="136">
        <f t="shared" si="1"/>
        <v>0</v>
      </c>
      <c r="J9" s="18"/>
      <c r="K9" s="41">
        <v>0</v>
      </c>
      <c r="L9" s="205">
        <f>K9/9</f>
        <v>0</v>
      </c>
      <c r="M9" s="81">
        <f t="shared" ref="M9:M17" si="14">E9*1.02</f>
        <v>0</v>
      </c>
      <c r="N9" s="19">
        <f>M9/9</f>
        <v>0</v>
      </c>
      <c r="O9" s="136">
        <f t="shared" si="2"/>
        <v>0</v>
      </c>
      <c r="P9" s="136">
        <f>ROUND(O9*Rates!C$3, 0)</f>
        <v>0</v>
      </c>
      <c r="Q9" s="136">
        <f t="shared" si="3"/>
        <v>0</v>
      </c>
      <c r="R9" s="18"/>
      <c r="S9" s="41">
        <v>0</v>
      </c>
      <c r="T9" s="205">
        <f>S9/9</f>
        <v>0</v>
      </c>
      <c r="U9" s="81">
        <f t="shared" si="4"/>
        <v>0</v>
      </c>
      <c r="V9" s="19">
        <f>U9/9</f>
        <v>0</v>
      </c>
      <c r="W9" s="136">
        <f t="shared" si="5"/>
        <v>0</v>
      </c>
      <c r="X9" s="136">
        <f>ROUND(W9*Rates!D$3, 0)</f>
        <v>0</v>
      </c>
      <c r="Y9" s="136">
        <f t="shared" si="6"/>
        <v>0</v>
      </c>
      <c r="Z9" s="18"/>
      <c r="AA9" s="41">
        <v>0</v>
      </c>
      <c r="AB9" s="205">
        <f>AA9/9</f>
        <v>0</v>
      </c>
      <c r="AC9" s="81">
        <f t="shared" si="7"/>
        <v>0</v>
      </c>
      <c r="AD9" s="19">
        <f>AC9/9</f>
        <v>0</v>
      </c>
      <c r="AE9" s="136">
        <f t="shared" si="8"/>
        <v>0</v>
      </c>
      <c r="AF9" s="136">
        <f>ROUND(AE9*Rates!E$3, 0)</f>
        <v>0</v>
      </c>
      <c r="AG9" s="136">
        <f t="shared" si="9"/>
        <v>0</v>
      </c>
      <c r="AH9" s="18"/>
      <c r="AI9" s="41">
        <v>0</v>
      </c>
      <c r="AJ9" s="205">
        <f>AI9/9</f>
        <v>0</v>
      </c>
      <c r="AK9" s="81">
        <f t="shared" si="10"/>
        <v>0</v>
      </c>
      <c r="AL9" s="19">
        <f>AK9/9</f>
        <v>0</v>
      </c>
      <c r="AM9" s="136">
        <f t="shared" si="11"/>
        <v>0</v>
      </c>
      <c r="AN9" s="136">
        <f>ROUND(AM9*Rates!F$3, 0)</f>
        <v>0</v>
      </c>
      <c r="AO9" s="136">
        <f t="shared" si="12"/>
        <v>0</v>
      </c>
      <c r="AP9" s="38"/>
      <c r="AQ9" s="148">
        <f t="shared" si="13"/>
        <v>0</v>
      </c>
    </row>
    <row r="10" spans="1:43" s="6" customFormat="1" ht="15" hidden="1" customHeight="1" thickTop="1" x14ac:dyDescent="0.6">
      <c r="A10" s="133" t="s">
        <v>22</v>
      </c>
      <c r="B10" s="134"/>
      <c r="C10" s="41">
        <v>0</v>
      </c>
      <c r="D10" s="205">
        <f>C10/9</f>
        <v>0</v>
      </c>
      <c r="E10" s="81">
        <v>0</v>
      </c>
      <c r="F10" s="19">
        <f>E10/9</f>
        <v>0</v>
      </c>
      <c r="G10" s="136">
        <f t="shared" si="0"/>
        <v>0</v>
      </c>
      <c r="H10" s="136">
        <f>ROUND(G10*Rates!B$3, 0)</f>
        <v>0</v>
      </c>
      <c r="I10" s="136">
        <f t="shared" si="1"/>
        <v>0</v>
      </c>
      <c r="J10" s="18"/>
      <c r="K10" s="41">
        <v>0</v>
      </c>
      <c r="L10" s="205">
        <f>K10/9</f>
        <v>0</v>
      </c>
      <c r="M10" s="81">
        <f t="shared" si="14"/>
        <v>0</v>
      </c>
      <c r="N10" s="19">
        <f>M10/9</f>
        <v>0</v>
      </c>
      <c r="O10" s="136">
        <f t="shared" si="2"/>
        <v>0</v>
      </c>
      <c r="P10" s="136">
        <f>ROUND(O10*Rates!C$3, 0)</f>
        <v>0</v>
      </c>
      <c r="Q10" s="136">
        <f t="shared" si="3"/>
        <v>0</v>
      </c>
      <c r="R10" s="18"/>
      <c r="S10" s="41">
        <v>0</v>
      </c>
      <c r="T10" s="205">
        <f>S10/9</f>
        <v>0</v>
      </c>
      <c r="U10" s="81">
        <f t="shared" si="4"/>
        <v>0</v>
      </c>
      <c r="V10" s="19">
        <f>U10/9</f>
        <v>0</v>
      </c>
      <c r="W10" s="136">
        <f t="shared" si="5"/>
        <v>0</v>
      </c>
      <c r="X10" s="136">
        <f>ROUND(W10*Rates!D$3, 0)</f>
        <v>0</v>
      </c>
      <c r="Y10" s="136">
        <f t="shared" si="6"/>
        <v>0</v>
      </c>
      <c r="Z10" s="18"/>
      <c r="AA10" s="41">
        <v>0</v>
      </c>
      <c r="AB10" s="205">
        <f>AA10/9</f>
        <v>0</v>
      </c>
      <c r="AC10" s="81">
        <f t="shared" si="7"/>
        <v>0</v>
      </c>
      <c r="AD10" s="19">
        <f>AC10/9</f>
        <v>0</v>
      </c>
      <c r="AE10" s="136">
        <f t="shared" si="8"/>
        <v>0</v>
      </c>
      <c r="AF10" s="136">
        <f>ROUND(AE10*Rates!E$3, 0)</f>
        <v>0</v>
      </c>
      <c r="AG10" s="136">
        <f t="shared" si="9"/>
        <v>0</v>
      </c>
      <c r="AH10" s="18"/>
      <c r="AI10" s="41">
        <v>0</v>
      </c>
      <c r="AJ10" s="205">
        <f>AI10/9</f>
        <v>0</v>
      </c>
      <c r="AK10" s="81">
        <f t="shared" si="10"/>
        <v>0</v>
      </c>
      <c r="AL10" s="19">
        <f>AK10/9</f>
        <v>0</v>
      </c>
      <c r="AM10" s="136">
        <f t="shared" si="11"/>
        <v>0</v>
      </c>
      <c r="AN10" s="136">
        <f>ROUND(AM10*Rates!F$3, 0)</f>
        <v>0</v>
      </c>
      <c r="AO10" s="136">
        <f t="shared" si="12"/>
        <v>0</v>
      </c>
      <c r="AP10" s="38"/>
      <c r="AQ10" s="148">
        <f t="shared" si="13"/>
        <v>0</v>
      </c>
    </row>
    <row r="11" spans="1:43" s="6" customFormat="1" ht="15" hidden="1" customHeight="1" thickTop="1" x14ac:dyDescent="0.6">
      <c r="A11" s="133" t="s">
        <v>22</v>
      </c>
      <c r="B11" s="134"/>
      <c r="C11" s="41">
        <v>0</v>
      </c>
      <c r="D11" s="205">
        <f>C11/9</f>
        <v>0</v>
      </c>
      <c r="E11" s="81">
        <v>0</v>
      </c>
      <c r="F11" s="19">
        <f>E11/9</f>
        <v>0</v>
      </c>
      <c r="G11" s="136">
        <f t="shared" si="0"/>
        <v>0</v>
      </c>
      <c r="H11" s="136">
        <f>ROUND(G11*Rates!B$3, 0)</f>
        <v>0</v>
      </c>
      <c r="I11" s="136">
        <f t="shared" si="1"/>
        <v>0</v>
      </c>
      <c r="J11" s="18"/>
      <c r="K11" s="41">
        <v>0</v>
      </c>
      <c r="L11" s="205">
        <f>K11/9</f>
        <v>0</v>
      </c>
      <c r="M11" s="81">
        <f t="shared" si="14"/>
        <v>0</v>
      </c>
      <c r="N11" s="19">
        <f>M11/9</f>
        <v>0</v>
      </c>
      <c r="O11" s="136">
        <f t="shared" si="2"/>
        <v>0</v>
      </c>
      <c r="P11" s="136">
        <f>ROUND(O11*Rates!C$3, 0)</f>
        <v>0</v>
      </c>
      <c r="Q11" s="136">
        <f t="shared" si="3"/>
        <v>0</v>
      </c>
      <c r="R11" s="18"/>
      <c r="S11" s="41">
        <v>0</v>
      </c>
      <c r="T11" s="205">
        <f>S11/9</f>
        <v>0</v>
      </c>
      <c r="U11" s="81">
        <f t="shared" si="4"/>
        <v>0</v>
      </c>
      <c r="V11" s="19">
        <f>U11/9</f>
        <v>0</v>
      </c>
      <c r="W11" s="136">
        <f t="shared" si="5"/>
        <v>0</v>
      </c>
      <c r="X11" s="136">
        <f>ROUND(W11*Rates!D$3, 0)</f>
        <v>0</v>
      </c>
      <c r="Y11" s="136">
        <f t="shared" si="6"/>
        <v>0</v>
      </c>
      <c r="Z11" s="18"/>
      <c r="AA11" s="41">
        <v>0</v>
      </c>
      <c r="AB11" s="205">
        <f>AA11/9</f>
        <v>0</v>
      </c>
      <c r="AC11" s="81">
        <f t="shared" si="7"/>
        <v>0</v>
      </c>
      <c r="AD11" s="19">
        <f>AC11/9</f>
        <v>0</v>
      </c>
      <c r="AE11" s="136">
        <f t="shared" si="8"/>
        <v>0</v>
      </c>
      <c r="AF11" s="136">
        <f>ROUND(AE11*Rates!E$3, 0)</f>
        <v>0</v>
      </c>
      <c r="AG11" s="136">
        <f t="shared" si="9"/>
        <v>0</v>
      </c>
      <c r="AH11" s="18"/>
      <c r="AI11" s="41">
        <v>0</v>
      </c>
      <c r="AJ11" s="205">
        <f>AI11/9</f>
        <v>0</v>
      </c>
      <c r="AK11" s="81">
        <f t="shared" si="10"/>
        <v>0</v>
      </c>
      <c r="AL11" s="19">
        <f>AK11/9</f>
        <v>0</v>
      </c>
      <c r="AM11" s="136">
        <f t="shared" si="11"/>
        <v>0</v>
      </c>
      <c r="AN11" s="136">
        <f>ROUND(AM11*Rates!F$3, 0)</f>
        <v>0</v>
      </c>
      <c r="AO11" s="136">
        <f t="shared" si="12"/>
        <v>0</v>
      </c>
      <c r="AP11" s="38"/>
      <c r="AQ11" s="148">
        <f t="shared" si="13"/>
        <v>0</v>
      </c>
    </row>
    <row r="12" spans="1:43" s="6" customFormat="1" ht="15" hidden="1" customHeight="1" thickTop="1" x14ac:dyDescent="0.6">
      <c r="A12" s="133" t="s">
        <v>22</v>
      </c>
      <c r="B12" s="134"/>
      <c r="C12" s="41">
        <v>0</v>
      </c>
      <c r="D12" s="205">
        <f>C12/9</f>
        <v>0</v>
      </c>
      <c r="E12" s="81">
        <v>0</v>
      </c>
      <c r="F12" s="19">
        <f>E12/9</f>
        <v>0</v>
      </c>
      <c r="G12" s="136">
        <f t="shared" si="0"/>
        <v>0</v>
      </c>
      <c r="H12" s="136">
        <f>ROUND(G12*Rates!B$3, 0)</f>
        <v>0</v>
      </c>
      <c r="I12" s="136">
        <f t="shared" si="1"/>
        <v>0</v>
      </c>
      <c r="J12" s="18"/>
      <c r="K12" s="41">
        <v>0</v>
      </c>
      <c r="L12" s="205">
        <f>K12/9</f>
        <v>0</v>
      </c>
      <c r="M12" s="81">
        <f t="shared" si="14"/>
        <v>0</v>
      </c>
      <c r="N12" s="19">
        <f>M12/9</f>
        <v>0</v>
      </c>
      <c r="O12" s="136">
        <f t="shared" si="2"/>
        <v>0</v>
      </c>
      <c r="P12" s="136">
        <f>ROUND(O12*Rates!C$3, 0)</f>
        <v>0</v>
      </c>
      <c r="Q12" s="136">
        <f t="shared" si="3"/>
        <v>0</v>
      </c>
      <c r="R12" s="18"/>
      <c r="S12" s="41">
        <v>0</v>
      </c>
      <c r="T12" s="205">
        <f>S12/9</f>
        <v>0</v>
      </c>
      <c r="U12" s="81">
        <f t="shared" si="4"/>
        <v>0</v>
      </c>
      <c r="V12" s="19">
        <f>U12/9</f>
        <v>0</v>
      </c>
      <c r="W12" s="136">
        <f t="shared" si="5"/>
        <v>0</v>
      </c>
      <c r="X12" s="136">
        <f>ROUND(W12*Rates!D$3, 0)</f>
        <v>0</v>
      </c>
      <c r="Y12" s="136">
        <f t="shared" si="6"/>
        <v>0</v>
      </c>
      <c r="Z12" s="18"/>
      <c r="AA12" s="41">
        <v>0</v>
      </c>
      <c r="AB12" s="205">
        <f>AA12/9</f>
        <v>0</v>
      </c>
      <c r="AC12" s="81">
        <f t="shared" si="7"/>
        <v>0</v>
      </c>
      <c r="AD12" s="19">
        <f>AC12/9</f>
        <v>0</v>
      </c>
      <c r="AE12" s="136">
        <f t="shared" si="8"/>
        <v>0</v>
      </c>
      <c r="AF12" s="136">
        <f>ROUND(AE12*Rates!E$3, 0)</f>
        <v>0</v>
      </c>
      <c r="AG12" s="136">
        <f t="shared" si="9"/>
        <v>0</v>
      </c>
      <c r="AH12" s="18"/>
      <c r="AI12" s="41">
        <v>0</v>
      </c>
      <c r="AJ12" s="205">
        <f>AI12/9</f>
        <v>0</v>
      </c>
      <c r="AK12" s="81">
        <f t="shared" si="10"/>
        <v>0</v>
      </c>
      <c r="AL12" s="19">
        <f>AK12/9</f>
        <v>0</v>
      </c>
      <c r="AM12" s="136">
        <f t="shared" si="11"/>
        <v>0</v>
      </c>
      <c r="AN12" s="136">
        <f>ROUND(AM12*Rates!F$3, 0)</f>
        <v>0</v>
      </c>
      <c r="AO12" s="136">
        <f t="shared" si="12"/>
        <v>0</v>
      </c>
      <c r="AP12" s="18"/>
      <c r="AQ12" s="148">
        <f t="shared" si="13"/>
        <v>0</v>
      </c>
    </row>
    <row r="13" spans="1:43" s="6" customFormat="1" ht="15" hidden="1" customHeight="1" thickTop="1" x14ac:dyDescent="0.6">
      <c r="A13" s="216" t="s">
        <v>23</v>
      </c>
      <c r="B13" s="217"/>
      <c r="C13" s="41">
        <v>0</v>
      </c>
      <c r="D13" s="205">
        <f>C13/12</f>
        <v>0</v>
      </c>
      <c r="E13" s="81">
        <v>0</v>
      </c>
      <c r="F13" s="19">
        <f>E13/12</f>
        <v>0</v>
      </c>
      <c r="G13" s="136">
        <f t="shared" ref="G13" si="15">ROUND(F13*C13, 0)</f>
        <v>0</v>
      </c>
      <c r="H13" s="136">
        <f>ROUND(G13*Rates!B$3, 0)</f>
        <v>0</v>
      </c>
      <c r="I13" s="136">
        <f t="shared" ref="I13" si="16">G13+H13</f>
        <v>0</v>
      </c>
      <c r="J13" s="18"/>
      <c r="K13" s="41">
        <v>0</v>
      </c>
      <c r="L13" s="205">
        <f>K13/12</f>
        <v>0</v>
      </c>
      <c r="M13" s="81">
        <f t="shared" ref="M13" si="17">E13*1.02</f>
        <v>0</v>
      </c>
      <c r="N13" s="19">
        <f>M13/12</f>
        <v>0</v>
      </c>
      <c r="O13" s="136">
        <f t="shared" ref="O13" si="18">ROUND(N13*K13, 0)</f>
        <v>0</v>
      </c>
      <c r="P13" s="136">
        <f>ROUND(O13*Rates!C$3, 0)</f>
        <v>0</v>
      </c>
      <c r="Q13" s="136">
        <f t="shared" ref="Q13" si="19">O13+P13</f>
        <v>0</v>
      </c>
      <c r="R13" s="18"/>
      <c r="S13" s="41">
        <v>0</v>
      </c>
      <c r="T13" s="205">
        <f>S13/12</f>
        <v>0</v>
      </c>
      <c r="U13" s="81">
        <f t="shared" ref="U13" si="20">M13*1.02</f>
        <v>0</v>
      </c>
      <c r="V13" s="19">
        <f>U13/12</f>
        <v>0</v>
      </c>
      <c r="W13" s="136">
        <f t="shared" ref="W13" si="21">ROUND(V13*S13, 0)</f>
        <v>0</v>
      </c>
      <c r="X13" s="136">
        <f>ROUND(W13*Rates!D$3, 0)</f>
        <v>0</v>
      </c>
      <c r="Y13" s="136">
        <f t="shared" si="6"/>
        <v>0</v>
      </c>
      <c r="Z13" s="18"/>
      <c r="AA13" s="41">
        <v>0</v>
      </c>
      <c r="AB13" s="205">
        <f>AA13/12</f>
        <v>0</v>
      </c>
      <c r="AC13" s="81">
        <f t="shared" si="7"/>
        <v>0</v>
      </c>
      <c r="AD13" s="19">
        <f>AC13/12</f>
        <v>0</v>
      </c>
      <c r="AE13" s="136">
        <f t="shared" ref="AE13" si="22">ROUND(AD13*AA13, 0)</f>
        <v>0</v>
      </c>
      <c r="AF13" s="136">
        <f>ROUND(AE13*Rates!E$3, 0)</f>
        <v>0</v>
      </c>
      <c r="AG13" s="136">
        <f t="shared" ref="AG13" si="23">AE13+AF13</f>
        <v>0</v>
      </c>
      <c r="AH13" s="18"/>
      <c r="AI13" s="41">
        <v>0</v>
      </c>
      <c r="AJ13" s="205">
        <f>AI13/12</f>
        <v>0</v>
      </c>
      <c r="AK13" s="81">
        <f t="shared" ref="AK13" si="24">AC13*1.02</f>
        <v>0</v>
      </c>
      <c r="AL13" s="19">
        <f>AK13/12</f>
        <v>0</v>
      </c>
      <c r="AM13" s="136">
        <f t="shared" ref="AM13" si="25">ROUND(AL13*AI13, 0)</f>
        <v>0</v>
      </c>
      <c r="AN13" s="136">
        <f>ROUND(AM13*Rates!F$3, 0)</f>
        <v>0</v>
      </c>
      <c r="AO13" s="136">
        <f t="shared" ref="AO13" si="26">AM13+AN13</f>
        <v>0</v>
      </c>
      <c r="AP13" s="18"/>
      <c r="AQ13" s="148">
        <f t="shared" si="13"/>
        <v>0</v>
      </c>
    </row>
    <row r="14" spans="1:43" s="6" customFormat="1" ht="15" hidden="1" customHeight="1" thickTop="1" x14ac:dyDescent="0.6">
      <c r="A14" s="216" t="s">
        <v>23</v>
      </c>
      <c r="B14" s="217"/>
      <c r="C14" s="41">
        <v>0</v>
      </c>
      <c r="D14" s="205">
        <f>C14/12</f>
        <v>0</v>
      </c>
      <c r="E14" s="81">
        <v>0</v>
      </c>
      <c r="F14" s="19">
        <f>E14/12</f>
        <v>0</v>
      </c>
      <c r="G14" s="136">
        <f t="shared" si="0"/>
        <v>0</v>
      </c>
      <c r="H14" s="136">
        <f>ROUND(G14*Rates!B$3, 0)</f>
        <v>0</v>
      </c>
      <c r="I14" s="136">
        <f t="shared" si="1"/>
        <v>0</v>
      </c>
      <c r="J14" s="18"/>
      <c r="K14" s="41">
        <v>0</v>
      </c>
      <c r="L14" s="205">
        <f>K14/12</f>
        <v>0</v>
      </c>
      <c r="M14" s="81">
        <f t="shared" si="14"/>
        <v>0</v>
      </c>
      <c r="N14" s="19">
        <f>M14/12</f>
        <v>0</v>
      </c>
      <c r="O14" s="136">
        <f t="shared" si="2"/>
        <v>0</v>
      </c>
      <c r="P14" s="136">
        <f>ROUND(O14*Rates!C$3, 0)</f>
        <v>0</v>
      </c>
      <c r="Q14" s="136">
        <f t="shared" si="3"/>
        <v>0</v>
      </c>
      <c r="R14" s="18"/>
      <c r="S14" s="41">
        <v>0</v>
      </c>
      <c r="T14" s="205">
        <f>S14/12</f>
        <v>0</v>
      </c>
      <c r="U14" s="81">
        <f t="shared" si="4"/>
        <v>0</v>
      </c>
      <c r="V14" s="19">
        <f>U14/12</f>
        <v>0</v>
      </c>
      <c r="W14" s="136">
        <f t="shared" si="5"/>
        <v>0</v>
      </c>
      <c r="X14" s="136">
        <f>ROUND(W14*Rates!D$3, 0)</f>
        <v>0</v>
      </c>
      <c r="Y14" s="136">
        <f t="shared" si="6"/>
        <v>0</v>
      </c>
      <c r="Z14" s="18"/>
      <c r="AA14" s="41">
        <v>0</v>
      </c>
      <c r="AB14" s="205">
        <f>AA14/12</f>
        <v>0</v>
      </c>
      <c r="AC14" s="81">
        <f t="shared" si="7"/>
        <v>0</v>
      </c>
      <c r="AD14" s="19">
        <f>AC14/12</f>
        <v>0</v>
      </c>
      <c r="AE14" s="136">
        <f t="shared" si="8"/>
        <v>0</v>
      </c>
      <c r="AF14" s="136">
        <f>ROUND(AE14*Rates!E$3, 0)</f>
        <v>0</v>
      </c>
      <c r="AG14" s="136">
        <f t="shared" si="9"/>
        <v>0</v>
      </c>
      <c r="AH14" s="18"/>
      <c r="AI14" s="41">
        <v>0</v>
      </c>
      <c r="AJ14" s="205">
        <f>AI14/12</f>
        <v>0</v>
      </c>
      <c r="AK14" s="81">
        <f t="shared" si="10"/>
        <v>0</v>
      </c>
      <c r="AL14" s="19">
        <f>AK14/12</f>
        <v>0</v>
      </c>
      <c r="AM14" s="136">
        <f t="shared" si="11"/>
        <v>0</v>
      </c>
      <c r="AN14" s="136">
        <f>ROUND(AM14*Rates!F$3, 0)</f>
        <v>0</v>
      </c>
      <c r="AO14" s="136">
        <f t="shared" si="12"/>
        <v>0</v>
      </c>
      <c r="AP14" s="18"/>
      <c r="AQ14" s="148">
        <f t="shared" si="13"/>
        <v>0</v>
      </c>
    </row>
    <row r="15" spans="1:43" s="6" customFormat="1" ht="15" hidden="1" customHeight="1" thickTop="1" x14ac:dyDescent="0.6">
      <c r="A15" s="216" t="s">
        <v>23</v>
      </c>
      <c r="B15" s="217"/>
      <c r="C15" s="41">
        <v>0</v>
      </c>
      <c r="D15" s="205">
        <f>C15/12</f>
        <v>0</v>
      </c>
      <c r="E15" s="81">
        <v>0</v>
      </c>
      <c r="F15" s="19">
        <f>E15/12</f>
        <v>0</v>
      </c>
      <c r="G15" s="136">
        <f t="shared" si="0"/>
        <v>0</v>
      </c>
      <c r="H15" s="136">
        <f>ROUND(G15*Rates!B$3, 0)</f>
        <v>0</v>
      </c>
      <c r="I15" s="136">
        <f t="shared" si="1"/>
        <v>0</v>
      </c>
      <c r="J15" s="18"/>
      <c r="K15" s="41">
        <v>0</v>
      </c>
      <c r="L15" s="205">
        <f>K15/12</f>
        <v>0</v>
      </c>
      <c r="M15" s="81">
        <f t="shared" si="14"/>
        <v>0</v>
      </c>
      <c r="N15" s="19">
        <f>M15/12</f>
        <v>0</v>
      </c>
      <c r="O15" s="136">
        <f t="shared" si="2"/>
        <v>0</v>
      </c>
      <c r="P15" s="136">
        <f>ROUND(O15*Rates!C$3, 0)</f>
        <v>0</v>
      </c>
      <c r="Q15" s="136">
        <f t="shared" si="3"/>
        <v>0</v>
      </c>
      <c r="R15" s="18"/>
      <c r="S15" s="41">
        <v>0</v>
      </c>
      <c r="T15" s="205">
        <f>S15/12</f>
        <v>0</v>
      </c>
      <c r="U15" s="81">
        <f t="shared" si="4"/>
        <v>0</v>
      </c>
      <c r="V15" s="19">
        <f>U15/12</f>
        <v>0</v>
      </c>
      <c r="W15" s="136">
        <f t="shared" si="5"/>
        <v>0</v>
      </c>
      <c r="X15" s="136">
        <f>ROUND(W15*Rates!D$3, 0)</f>
        <v>0</v>
      </c>
      <c r="Y15" s="136">
        <f t="shared" si="6"/>
        <v>0</v>
      </c>
      <c r="Z15" s="18"/>
      <c r="AA15" s="41">
        <v>0</v>
      </c>
      <c r="AB15" s="205">
        <f>AA15/12</f>
        <v>0</v>
      </c>
      <c r="AC15" s="81">
        <f t="shared" si="7"/>
        <v>0</v>
      </c>
      <c r="AD15" s="19">
        <f>AC15/12</f>
        <v>0</v>
      </c>
      <c r="AE15" s="136">
        <f t="shared" si="8"/>
        <v>0</v>
      </c>
      <c r="AF15" s="136">
        <f>ROUND(AE15*Rates!E$3, 0)</f>
        <v>0</v>
      </c>
      <c r="AG15" s="136">
        <f t="shared" si="9"/>
        <v>0</v>
      </c>
      <c r="AH15" s="18"/>
      <c r="AI15" s="41">
        <v>0</v>
      </c>
      <c r="AJ15" s="205">
        <f>AI15/12</f>
        <v>0</v>
      </c>
      <c r="AK15" s="81">
        <f t="shared" si="10"/>
        <v>0</v>
      </c>
      <c r="AL15" s="19">
        <f>AK15/12</f>
        <v>0</v>
      </c>
      <c r="AM15" s="136">
        <f t="shared" si="11"/>
        <v>0</v>
      </c>
      <c r="AN15" s="136">
        <f>ROUND(AM15*Rates!F$3, 0)</f>
        <v>0</v>
      </c>
      <c r="AO15" s="136">
        <f t="shared" si="12"/>
        <v>0</v>
      </c>
      <c r="AP15" s="18"/>
      <c r="AQ15" s="148">
        <f t="shared" si="13"/>
        <v>0</v>
      </c>
    </row>
    <row r="16" spans="1:43" s="6" customFormat="1" ht="15" hidden="1" customHeight="1" thickTop="1" x14ac:dyDescent="0.6">
      <c r="A16" s="216" t="s">
        <v>23</v>
      </c>
      <c r="B16" s="217"/>
      <c r="C16" s="41">
        <v>0</v>
      </c>
      <c r="D16" s="205">
        <f>C16/12</f>
        <v>0</v>
      </c>
      <c r="E16" s="81">
        <v>0</v>
      </c>
      <c r="F16" s="19">
        <f>E16/12</f>
        <v>0</v>
      </c>
      <c r="G16" s="136">
        <f t="shared" si="0"/>
        <v>0</v>
      </c>
      <c r="H16" s="136">
        <f>ROUND(G16*Rates!B$3, 0)</f>
        <v>0</v>
      </c>
      <c r="I16" s="136">
        <f t="shared" si="1"/>
        <v>0</v>
      </c>
      <c r="J16" s="18"/>
      <c r="K16" s="41">
        <v>0</v>
      </c>
      <c r="L16" s="205">
        <f>K16/12</f>
        <v>0</v>
      </c>
      <c r="M16" s="81">
        <f t="shared" si="14"/>
        <v>0</v>
      </c>
      <c r="N16" s="19">
        <f>M16/12</f>
        <v>0</v>
      </c>
      <c r="O16" s="136">
        <f t="shared" si="2"/>
        <v>0</v>
      </c>
      <c r="P16" s="136">
        <f>ROUND(O16*Rates!C$3, 0)</f>
        <v>0</v>
      </c>
      <c r="Q16" s="136">
        <f t="shared" si="3"/>
        <v>0</v>
      </c>
      <c r="R16" s="18"/>
      <c r="S16" s="41">
        <v>0</v>
      </c>
      <c r="T16" s="205">
        <f>S16/12</f>
        <v>0</v>
      </c>
      <c r="U16" s="81">
        <f t="shared" si="4"/>
        <v>0</v>
      </c>
      <c r="V16" s="19">
        <f>U16/12</f>
        <v>0</v>
      </c>
      <c r="W16" s="136">
        <f t="shared" si="5"/>
        <v>0</v>
      </c>
      <c r="X16" s="136">
        <f>ROUND(W16*Rates!D$3, 0)</f>
        <v>0</v>
      </c>
      <c r="Y16" s="136">
        <f t="shared" si="6"/>
        <v>0</v>
      </c>
      <c r="Z16" s="18"/>
      <c r="AA16" s="41">
        <v>0</v>
      </c>
      <c r="AB16" s="205">
        <f>AA16/12</f>
        <v>0</v>
      </c>
      <c r="AC16" s="81">
        <f t="shared" si="7"/>
        <v>0</v>
      </c>
      <c r="AD16" s="19">
        <f>AC16/12</f>
        <v>0</v>
      </c>
      <c r="AE16" s="136">
        <f t="shared" si="8"/>
        <v>0</v>
      </c>
      <c r="AF16" s="136">
        <f>ROUND(AE16*Rates!E$3, 0)</f>
        <v>0</v>
      </c>
      <c r="AG16" s="136">
        <f t="shared" si="9"/>
        <v>0</v>
      </c>
      <c r="AH16" s="18"/>
      <c r="AI16" s="41">
        <v>0</v>
      </c>
      <c r="AJ16" s="205">
        <f>AI16/12</f>
        <v>0</v>
      </c>
      <c r="AK16" s="81">
        <f t="shared" si="10"/>
        <v>0</v>
      </c>
      <c r="AL16" s="19">
        <f>AK16/12</f>
        <v>0</v>
      </c>
      <c r="AM16" s="136">
        <f t="shared" si="11"/>
        <v>0</v>
      </c>
      <c r="AN16" s="136">
        <f>ROUND(AM16*Rates!F$3, 0)</f>
        <v>0</v>
      </c>
      <c r="AO16" s="136">
        <f t="shared" si="12"/>
        <v>0</v>
      </c>
      <c r="AP16" s="18"/>
      <c r="AQ16" s="148">
        <f t="shared" si="13"/>
        <v>0</v>
      </c>
    </row>
    <row r="17" spans="1:43" s="6" customFormat="1" ht="15" hidden="1" customHeight="1" thickTop="1" x14ac:dyDescent="0.6">
      <c r="A17" s="216" t="s">
        <v>23</v>
      </c>
      <c r="B17" s="217"/>
      <c r="C17" s="41">
        <v>0</v>
      </c>
      <c r="D17" s="205">
        <f>C17/12</f>
        <v>0</v>
      </c>
      <c r="E17" s="81">
        <v>0</v>
      </c>
      <c r="F17" s="19">
        <f>E17/12</f>
        <v>0</v>
      </c>
      <c r="G17" s="136">
        <f t="shared" si="0"/>
        <v>0</v>
      </c>
      <c r="H17" s="136">
        <f>ROUND(G17*Rates!B$3, 0)</f>
        <v>0</v>
      </c>
      <c r="I17" s="136">
        <f t="shared" si="1"/>
        <v>0</v>
      </c>
      <c r="J17" s="18"/>
      <c r="K17" s="41">
        <v>0</v>
      </c>
      <c r="L17" s="205">
        <f>K17/12</f>
        <v>0</v>
      </c>
      <c r="M17" s="81">
        <f t="shared" si="14"/>
        <v>0</v>
      </c>
      <c r="N17" s="19">
        <f>M17/12</f>
        <v>0</v>
      </c>
      <c r="O17" s="136">
        <f t="shared" si="2"/>
        <v>0</v>
      </c>
      <c r="P17" s="136">
        <f>ROUND(O17*Rates!C$3, 0)</f>
        <v>0</v>
      </c>
      <c r="Q17" s="136">
        <f t="shared" si="3"/>
        <v>0</v>
      </c>
      <c r="R17" s="18"/>
      <c r="S17" s="41">
        <v>0</v>
      </c>
      <c r="T17" s="205">
        <f>S17/12</f>
        <v>0</v>
      </c>
      <c r="U17" s="81">
        <f t="shared" si="4"/>
        <v>0</v>
      </c>
      <c r="V17" s="19">
        <f>U17/12</f>
        <v>0</v>
      </c>
      <c r="W17" s="136">
        <f t="shared" si="5"/>
        <v>0</v>
      </c>
      <c r="X17" s="136">
        <f>ROUND(W17*Rates!D$3, 0)</f>
        <v>0</v>
      </c>
      <c r="Y17" s="136">
        <f t="shared" si="6"/>
        <v>0</v>
      </c>
      <c r="Z17" s="18"/>
      <c r="AA17" s="41">
        <v>0</v>
      </c>
      <c r="AB17" s="205">
        <f>AA17/12</f>
        <v>0</v>
      </c>
      <c r="AC17" s="81">
        <f t="shared" si="7"/>
        <v>0</v>
      </c>
      <c r="AD17" s="19">
        <f>AC17/12</f>
        <v>0</v>
      </c>
      <c r="AE17" s="136">
        <f t="shared" si="8"/>
        <v>0</v>
      </c>
      <c r="AF17" s="136">
        <f>ROUND(AE17*Rates!E$3, 0)</f>
        <v>0</v>
      </c>
      <c r="AG17" s="136">
        <f t="shared" si="9"/>
        <v>0</v>
      </c>
      <c r="AH17" s="18"/>
      <c r="AI17" s="41">
        <v>0</v>
      </c>
      <c r="AJ17" s="205">
        <f>AI17/12</f>
        <v>0</v>
      </c>
      <c r="AK17" s="81">
        <f t="shared" si="10"/>
        <v>0</v>
      </c>
      <c r="AL17" s="19">
        <f>AK17/12</f>
        <v>0</v>
      </c>
      <c r="AM17" s="136">
        <f t="shared" si="11"/>
        <v>0</v>
      </c>
      <c r="AN17" s="136">
        <f>ROUND(AM17*Rates!F$3, 0)</f>
        <v>0</v>
      </c>
      <c r="AO17" s="136">
        <f t="shared" si="12"/>
        <v>0</v>
      </c>
      <c r="AP17" s="18"/>
      <c r="AQ17" s="148">
        <f t="shared" si="13"/>
        <v>0</v>
      </c>
    </row>
    <row r="18" spans="1:43" ht="15" customHeight="1" thickTop="1" x14ac:dyDescent="0.6">
      <c r="A18" s="211" t="s">
        <v>0</v>
      </c>
      <c r="B18" s="212"/>
      <c r="C18" s="62"/>
      <c r="D18" s="206"/>
      <c r="E18" s="82"/>
      <c r="F18" s="63"/>
      <c r="G18" s="138">
        <f>ROUND(SUM(G8:G17), 0)</f>
        <v>0</v>
      </c>
      <c r="H18" s="138"/>
      <c r="I18" s="138"/>
      <c r="J18" s="64"/>
      <c r="K18" s="65"/>
      <c r="L18" s="206"/>
      <c r="M18" s="82"/>
      <c r="N18" s="63"/>
      <c r="O18" s="138">
        <f>ROUND(SUM(O8:O17), 0)</f>
        <v>0</v>
      </c>
      <c r="P18" s="138"/>
      <c r="Q18" s="138"/>
      <c r="R18" s="64"/>
      <c r="S18" s="65"/>
      <c r="T18" s="206"/>
      <c r="U18" s="82"/>
      <c r="V18" s="63"/>
      <c r="W18" s="138">
        <f>ROUND(SUM(W8:W17), 0)</f>
        <v>0</v>
      </c>
      <c r="X18" s="138"/>
      <c r="Y18" s="138"/>
      <c r="Z18" s="64"/>
      <c r="AA18" s="65"/>
      <c r="AB18" s="206"/>
      <c r="AC18" s="82"/>
      <c r="AD18" s="63"/>
      <c r="AE18" s="138">
        <f>ROUND(SUM(AE8:AE17), 0)</f>
        <v>0</v>
      </c>
      <c r="AF18" s="138"/>
      <c r="AG18" s="138"/>
      <c r="AH18" s="64"/>
      <c r="AI18" s="65"/>
      <c r="AJ18" s="206"/>
      <c r="AK18" s="82"/>
      <c r="AL18" s="63"/>
      <c r="AM18" s="138">
        <f>ROUND(SUM(AM8:AM17), 0)</f>
        <v>0</v>
      </c>
      <c r="AN18" s="138"/>
      <c r="AO18" s="138"/>
      <c r="AP18" s="64"/>
      <c r="AQ18" s="149">
        <f t="shared" si="13"/>
        <v>0</v>
      </c>
    </row>
    <row r="19" spans="1:43" ht="15" customHeight="1" x14ac:dyDescent="0.6">
      <c r="A19" s="216" t="s">
        <v>87</v>
      </c>
      <c r="B19" s="210"/>
      <c r="C19" s="43"/>
      <c r="D19" s="207"/>
      <c r="E19" s="58"/>
      <c r="G19" s="136">
        <f>ROUND(G18*Rates!B3, 0)</f>
        <v>0</v>
      </c>
      <c r="J19" s="18"/>
      <c r="L19" s="207"/>
      <c r="O19" s="136">
        <f>ROUND(O18*Rates!C3, 0)</f>
        <v>0</v>
      </c>
      <c r="R19" s="18"/>
      <c r="T19" s="207"/>
      <c r="W19" s="136">
        <f>ROUND(W18*Rates!D3, 0)</f>
        <v>0</v>
      </c>
      <c r="Z19" s="18"/>
      <c r="AB19" s="207"/>
      <c r="AE19" s="136">
        <f>ROUND(AE18*Rates!E3, 0)</f>
        <v>0</v>
      </c>
      <c r="AH19" s="18"/>
      <c r="AJ19" s="207"/>
      <c r="AM19" s="136">
        <f>ROUND(AM18*Rates!F3, 0)</f>
        <v>0</v>
      </c>
      <c r="AP19" s="18"/>
      <c r="AQ19" s="148">
        <f t="shared" si="13"/>
        <v>0</v>
      </c>
    </row>
    <row r="20" spans="1:43" ht="15" customHeight="1" x14ac:dyDescent="0.6">
      <c r="A20" s="209" t="s">
        <v>2</v>
      </c>
      <c r="B20" s="210"/>
      <c r="C20" s="43"/>
      <c r="D20" s="207"/>
      <c r="E20" s="58"/>
      <c r="G20" s="136">
        <f>ROUND(SUM(G18:G19), 0)</f>
        <v>0</v>
      </c>
      <c r="J20" s="18"/>
      <c r="L20" s="207"/>
      <c r="O20" s="136">
        <f>ROUND(SUM(O18:O19), 0)</f>
        <v>0</v>
      </c>
      <c r="R20" s="18"/>
      <c r="T20" s="207"/>
      <c r="W20" s="136">
        <f>ROUND(SUM(W18:W19), 0)</f>
        <v>0</v>
      </c>
      <c r="Z20" s="18"/>
      <c r="AB20" s="207"/>
      <c r="AE20" s="136">
        <f>ROUND(SUM(AE18:AE19), 0)</f>
        <v>0</v>
      </c>
      <c r="AH20" s="18"/>
      <c r="AJ20" s="207"/>
      <c r="AM20" s="136">
        <f>ROUND(SUM(AM18:AM19), 0)</f>
        <v>0</v>
      </c>
      <c r="AP20" s="18"/>
      <c r="AQ20" s="148">
        <f t="shared" si="13"/>
        <v>0</v>
      </c>
    </row>
    <row r="21" spans="1:43" ht="15" customHeight="1" x14ac:dyDescent="0.6">
      <c r="A21" s="23"/>
      <c r="C21" s="43"/>
      <c r="D21" s="207"/>
      <c r="E21" s="58"/>
      <c r="J21" s="18"/>
      <c r="L21" s="207"/>
      <c r="R21" s="18"/>
      <c r="T21" s="207"/>
      <c r="Z21" s="18"/>
      <c r="AB21" s="207"/>
      <c r="AH21" s="18"/>
      <c r="AJ21" s="207"/>
      <c r="AP21" s="18"/>
      <c r="AQ21" s="148"/>
    </row>
    <row r="22" spans="1:43" ht="15" customHeight="1" x14ac:dyDescent="0.7">
      <c r="A22" s="239" t="s">
        <v>15</v>
      </c>
      <c r="B22" s="240"/>
      <c r="C22" s="43"/>
      <c r="D22" s="207"/>
      <c r="E22" s="58"/>
      <c r="J22" s="18"/>
      <c r="L22" s="207"/>
      <c r="R22" s="18"/>
      <c r="T22" s="207"/>
      <c r="Z22" s="18"/>
      <c r="AB22" s="207"/>
      <c r="AH22" s="18"/>
      <c r="AJ22" s="207"/>
      <c r="AP22" s="18"/>
      <c r="AQ22" s="148"/>
    </row>
    <row r="23" spans="1:43" s="6" customFormat="1" ht="15" customHeight="1" thickBot="1" x14ac:dyDescent="0.75">
      <c r="A23" s="213" t="s">
        <v>95</v>
      </c>
      <c r="B23" s="213"/>
      <c r="C23" s="41">
        <v>2</v>
      </c>
      <c r="D23" s="205">
        <f>C23/3</f>
        <v>0.66666666666666663</v>
      </c>
      <c r="E23" s="81">
        <f>149200/3</f>
        <v>49733.333333333336</v>
      </c>
      <c r="F23" s="19">
        <f>E23/3</f>
        <v>16577.777777777777</v>
      </c>
      <c r="G23" s="136">
        <f>ROUND(F23*C23, 0)</f>
        <v>33156</v>
      </c>
      <c r="H23" s="136">
        <f>ROUND(G23*Rates!B$4, 0)</f>
        <v>4642</v>
      </c>
      <c r="I23" s="136">
        <f>G23+H23</f>
        <v>37798</v>
      </c>
      <c r="J23" s="18"/>
      <c r="K23" s="41">
        <v>0</v>
      </c>
      <c r="L23" s="205">
        <f>K23/3</f>
        <v>0</v>
      </c>
      <c r="M23" s="81">
        <v>0</v>
      </c>
      <c r="N23" s="19">
        <f>M23/3</f>
        <v>0</v>
      </c>
      <c r="O23" s="136">
        <f>ROUND(N23*K23, 0)</f>
        <v>0</v>
      </c>
      <c r="P23" s="136">
        <f>ROUND(O23*Rates!C$4, 0)</f>
        <v>0</v>
      </c>
      <c r="Q23" s="136">
        <f>O23+P23</f>
        <v>0</v>
      </c>
      <c r="R23" s="18"/>
      <c r="S23" s="41">
        <v>0</v>
      </c>
      <c r="T23" s="205">
        <f>S23/3</f>
        <v>0</v>
      </c>
      <c r="U23" s="81">
        <f>M23*1.02</f>
        <v>0</v>
      </c>
      <c r="V23" s="19">
        <f>U23/3</f>
        <v>0</v>
      </c>
      <c r="W23" s="136">
        <f>ROUND(V23*S23, 0)</f>
        <v>0</v>
      </c>
      <c r="X23" s="136">
        <f>ROUND(W23*Rates!D$4, 0)</f>
        <v>0</v>
      </c>
      <c r="Y23" s="136">
        <f>W23+X23</f>
        <v>0</v>
      </c>
      <c r="Z23" s="18"/>
      <c r="AA23" s="41">
        <v>0</v>
      </c>
      <c r="AB23" s="205">
        <f>AA23/3</f>
        <v>0</v>
      </c>
      <c r="AC23" s="81">
        <f>U23*1.02</f>
        <v>0</v>
      </c>
      <c r="AD23" s="19">
        <f>AC23/3</f>
        <v>0</v>
      </c>
      <c r="AE23" s="136">
        <f>ROUND(AD23*AA23, 0)</f>
        <v>0</v>
      </c>
      <c r="AF23" s="136">
        <f>ROUND(AE23*Rates!E$4, 0)</f>
        <v>0</v>
      </c>
      <c r="AG23" s="136">
        <f>AE23+AF23</f>
        <v>0</v>
      </c>
      <c r="AH23" s="18"/>
      <c r="AI23" s="41">
        <v>0</v>
      </c>
      <c r="AJ23" s="205">
        <f>AI23/3</f>
        <v>0</v>
      </c>
      <c r="AK23" s="81">
        <f>AC23*1.02</f>
        <v>0</v>
      </c>
      <c r="AL23" s="19">
        <f>AK23/3</f>
        <v>0</v>
      </c>
      <c r="AM23" s="136">
        <f>ROUND(AL23*AI23, 0)</f>
        <v>0</v>
      </c>
      <c r="AN23" s="136">
        <f>ROUND(AM23*Rates!F$4, 0)</f>
        <v>0</v>
      </c>
      <c r="AO23" s="136">
        <f>AM23+AN23</f>
        <v>0</v>
      </c>
      <c r="AP23" s="18"/>
      <c r="AQ23" s="148">
        <f t="shared" ref="AQ23:AQ30" si="27">SUM(G23+O23+W23+AE23+AM23)</f>
        <v>33156</v>
      </c>
    </row>
    <row r="24" spans="1:43" s="6" customFormat="1" ht="15" hidden="1" customHeight="1" thickBot="1" x14ac:dyDescent="0.75">
      <c r="A24" s="213" t="s">
        <v>21</v>
      </c>
      <c r="B24" s="213"/>
      <c r="C24" s="41">
        <v>0</v>
      </c>
      <c r="D24" s="205">
        <f>C24/3</f>
        <v>0</v>
      </c>
      <c r="E24" s="81">
        <v>0</v>
      </c>
      <c r="F24" s="19">
        <f>E24/3</f>
        <v>0</v>
      </c>
      <c r="G24" s="136">
        <f>ROUND(F24*C24, 0)</f>
        <v>0</v>
      </c>
      <c r="H24" s="136">
        <f>ROUND(G24*Rates!B$4, 0)</f>
        <v>0</v>
      </c>
      <c r="I24" s="136">
        <f>G24+H24</f>
        <v>0</v>
      </c>
      <c r="J24" s="18"/>
      <c r="K24" s="41">
        <v>0</v>
      </c>
      <c r="L24" s="205">
        <f>K24/3</f>
        <v>0</v>
      </c>
      <c r="M24" s="81">
        <f>E24*1.02</f>
        <v>0</v>
      </c>
      <c r="N24" s="19">
        <f>M24/3</f>
        <v>0</v>
      </c>
      <c r="O24" s="136">
        <f>ROUND(N24*K24, 0)</f>
        <v>0</v>
      </c>
      <c r="P24" s="136">
        <f>ROUND(O24*Rates!C$4, 0)</f>
        <v>0</v>
      </c>
      <c r="Q24" s="136">
        <f>O24+P24</f>
        <v>0</v>
      </c>
      <c r="R24" s="18"/>
      <c r="S24" s="41">
        <v>0</v>
      </c>
      <c r="T24" s="205">
        <f>S24/3</f>
        <v>0</v>
      </c>
      <c r="U24" s="81">
        <f>M24*1.02</f>
        <v>0</v>
      </c>
      <c r="V24" s="19">
        <f>U24/3</f>
        <v>0</v>
      </c>
      <c r="W24" s="136">
        <f>ROUND(V24*S24, 0)</f>
        <v>0</v>
      </c>
      <c r="X24" s="136">
        <f>ROUND(W24*Rates!D$4, 0)</f>
        <v>0</v>
      </c>
      <c r="Y24" s="136">
        <f>W24+X24</f>
        <v>0</v>
      </c>
      <c r="Z24" s="18"/>
      <c r="AA24" s="41">
        <v>0</v>
      </c>
      <c r="AB24" s="205">
        <f>AA24/3</f>
        <v>0</v>
      </c>
      <c r="AC24" s="81">
        <f>U24*1.02</f>
        <v>0</v>
      </c>
      <c r="AD24" s="19">
        <f>AC24/3</f>
        <v>0</v>
      </c>
      <c r="AE24" s="136">
        <f>ROUND(AD24*AA24, 0)</f>
        <v>0</v>
      </c>
      <c r="AF24" s="136">
        <f>ROUND(AE24*Rates!E$4, 0)</f>
        <v>0</v>
      </c>
      <c r="AG24" s="136">
        <f>AE24+AF24</f>
        <v>0</v>
      </c>
      <c r="AH24" s="18"/>
      <c r="AI24" s="41">
        <v>0</v>
      </c>
      <c r="AJ24" s="205">
        <f>AI24/3</f>
        <v>0</v>
      </c>
      <c r="AK24" s="81">
        <f>AC24*1.02</f>
        <v>0</v>
      </c>
      <c r="AL24" s="19">
        <f>AK24/3</f>
        <v>0</v>
      </c>
      <c r="AM24" s="136">
        <f>ROUND(AL24*AI24, 0)</f>
        <v>0</v>
      </c>
      <c r="AN24" s="136">
        <f>ROUND(AM24*Rates!F$4, 0)</f>
        <v>0</v>
      </c>
      <c r="AO24" s="136">
        <f>AM24+AN24</f>
        <v>0</v>
      </c>
      <c r="AP24" s="18"/>
      <c r="AQ24" s="148">
        <f t="shared" si="27"/>
        <v>0</v>
      </c>
    </row>
    <row r="25" spans="1:43" s="6" customFormat="1" ht="15" hidden="1" customHeight="1" thickTop="1" x14ac:dyDescent="0.6">
      <c r="A25" s="213" t="s">
        <v>21</v>
      </c>
      <c r="B25" s="213"/>
      <c r="C25" s="41">
        <v>0</v>
      </c>
      <c r="D25" s="205">
        <f>C25/3</f>
        <v>0</v>
      </c>
      <c r="E25" s="81">
        <v>0</v>
      </c>
      <c r="F25" s="19">
        <f>E25/3</f>
        <v>0</v>
      </c>
      <c r="G25" s="136">
        <f>ROUND(F25*C25, 0)</f>
        <v>0</v>
      </c>
      <c r="H25" s="136">
        <f>ROUND(G25*Rates!B$4, 0)</f>
        <v>0</v>
      </c>
      <c r="I25" s="136">
        <f>G25+H25</f>
        <v>0</v>
      </c>
      <c r="J25" s="18"/>
      <c r="K25" s="41">
        <v>0</v>
      </c>
      <c r="L25" s="205">
        <f>K25/3</f>
        <v>0</v>
      </c>
      <c r="M25" s="81">
        <f>E25*1.02</f>
        <v>0</v>
      </c>
      <c r="N25" s="19">
        <f>M25/3</f>
        <v>0</v>
      </c>
      <c r="O25" s="136">
        <f>ROUND(N25*K25, 0)</f>
        <v>0</v>
      </c>
      <c r="P25" s="136">
        <f>ROUND(O25*Rates!C$4, 0)</f>
        <v>0</v>
      </c>
      <c r="Q25" s="136">
        <f>O25+P25</f>
        <v>0</v>
      </c>
      <c r="R25" s="18"/>
      <c r="S25" s="41">
        <v>0</v>
      </c>
      <c r="T25" s="205">
        <f>S25/3</f>
        <v>0</v>
      </c>
      <c r="U25" s="81">
        <f>M25*1.02</f>
        <v>0</v>
      </c>
      <c r="V25" s="19">
        <f>U25/3</f>
        <v>0</v>
      </c>
      <c r="W25" s="136">
        <f>ROUND(V25*S25, 0)</f>
        <v>0</v>
      </c>
      <c r="X25" s="136">
        <f>ROUND(W25*Rates!D$4, 0)</f>
        <v>0</v>
      </c>
      <c r="Y25" s="136">
        <f>W25+X25</f>
        <v>0</v>
      </c>
      <c r="Z25" s="18"/>
      <c r="AA25" s="41">
        <v>0</v>
      </c>
      <c r="AB25" s="205">
        <f>AA25/3</f>
        <v>0</v>
      </c>
      <c r="AC25" s="81">
        <f>U25*1.02</f>
        <v>0</v>
      </c>
      <c r="AD25" s="19">
        <f>AC25/3</f>
        <v>0</v>
      </c>
      <c r="AE25" s="136">
        <f>ROUND(AD25*AA25, 0)</f>
        <v>0</v>
      </c>
      <c r="AF25" s="136">
        <f>ROUND(AE25*Rates!E$4, 0)</f>
        <v>0</v>
      </c>
      <c r="AG25" s="136">
        <f>AE25+AF25</f>
        <v>0</v>
      </c>
      <c r="AH25" s="18"/>
      <c r="AI25" s="41">
        <v>0</v>
      </c>
      <c r="AJ25" s="205">
        <f>AI25/3</f>
        <v>0</v>
      </c>
      <c r="AK25" s="81">
        <f>AC25*1.02</f>
        <v>0</v>
      </c>
      <c r="AL25" s="19">
        <f>AK25/3</f>
        <v>0</v>
      </c>
      <c r="AM25" s="136">
        <f>ROUND(AL25*AI25, 0)</f>
        <v>0</v>
      </c>
      <c r="AN25" s="136">
        <f>ROUND(AM25*Rates!F$4, 0)</f>
        <v>0</v>
      </c>
      <c r="AO25" s="136">
        <f>AM25+AN25</f>
        <v>0</v>
      </c>
      <c r="AP25" s="18"/>
      <c r="AQ25" s="148">
        <f t="shared" si="27"/>
        <v>0</v>
      </c>
    </row>
    <row r="26" spans="1:43" s="6" customFormat="1" ht="15" hidden="1" customHeight="1" thickTop="1" x14ac:dyDescent="0.6">
      <c r="A26" s="213" t="s">
        <v>21</v>
      </c>
      <c r="B26" s="213"/>
      <c r="C26" s="41">
        <v>0</v>
      </c>
      <c r="D26" s="205">
        <f>C26/3</f>
        <v>0</v>
      </c>
      <c r="E26" s="81">
        <v>0</v>
      </c>
      <c r="F26" s="19">
        <f>E26/3</f>
        <v>0</v>
      </c>
      <c r="G26" s="136">
        <f>ROUND(F26*C26, 0)</f>
        <v>0</v>
      </c>
      <c r="H26" s="136">
        <f>ROUND(G26*Rates!B$4, 0)</f>
        <v>0</v>
      </c>
      <c r="I26" s="136">
        <f>G26+H26</f>
        <v>0</v>
      </c>
      <c r="J26" s="18"/>
      <c r="K26" s="41">
        <v>0</v>
      </c>
      <c r="L26" s="205">
        <f>K26/3</f>
        <v>0</v>
      </c>
      <c r="M26" s="81">
        <f>E26*1.02</f>
        <v>0</v>
      </c>
      <c r="N26" s="19">
        <f>M26/3</f>
        <v>0</v>
      </c>
      <c r="O26" s="136">
        <f>ROUND(N26*K26, 0)</f>
        <v>0</v>
      </c>
      <c r="P26" s="136">
        <f>ROUND(O26*Rates!C$4, 0)</f>
        <v>0</v>
      </c>
      <c r="Q26" s="136">
        <f>O26+P26</f>
        <v>0</v>
      </c>
      <c r="R26" s="18"/>
      <c r="S26" s="41">
        <v>0</v>
      </c>
      <c r="T26" s="205">
        <f>S26/3</f>
        <v>0</v>
      </c>
      <c r="U26" s="81">
        <f>M26*1.02</f>
        <v>0</v>
      </c>
      <c r="V26" s="19">
        <f>U26/3</f>
        <v>0</v>
      </c>
      <c r="W26" s="136">
        <f>ROUND(V26*S26, 0)</f>
        <v>0</v>
      </c>
      <c r="X26" s="136">
        <f>ROUND(W26*Rates!D$4, 0)</f>
        <v>0</v>
      </c>
      <c r="Y26" s="136">
        <f>W26+X26</f>
        <v>0</v>
      </c>
      <c r="Z26" s="18"/>
      <c r="AA26" s="41">
        <v>0</v>
      </c>
      <c r="AB26" s="205">
        <f>AA26/3</f>
        <v>0</v>
      </c>
      <c r="AC26" s="81">
        <f>U26*1.02</f>
        <v>0</v>
      </c>
      <c r="AD26" s="19">
        <f>AC26/3</f>
        <v>0</v>
      </c>
      <c r="AE26" s="136">
        <f>ROUND(AD26*AA26, 0)</f>
        <v>0</v>
      </c>
      <c r="AF26" s="136">
        <f>ROUND(AE26*Rates!E$4, 0)</f>
        <v>0</v>
      </c>
      <c r="AG26" s="136">
        <f>AE26+AF26</f>
        <v>0</v>
      </c>
      <c r="AH26" s="18"/>
      <c r="AI26" s="41">
        <v>0</v>
      </c>
      <c r="AJ26" s="205">
        <f>AI26/3</f>
        <v>0</v>
      </c>
      <c r="AK26" s="81">
        <f>AC26*1.02</f>
        <v>0</v>
      </c>
      <c r="AL26" s="19">
        <f>AK26/3</f>
        <v>0</v>
      </c>
      <c r="AM26" s="136">
        <f>ROUND(AL26*AI26, 0)</f>
        <v>0</v>
      </c>
      <c r="AN26" s="136">
        <f>ROUND(AM26*Rates!F$4, 0)</f>
        <v>0</v>
      </c>
      <c r="AO26" s="136">
        <f>AM26+AN26</f>
        <v>0</v>
      </c>
      <c r="AP26" s="18"/>
      <c r="AQ26" s="148">
        <f t="shared" si="27"/>
        <v>0</v>
      </c>
    </row>
    <row r="27" spans="1:43" s="6" customFormat="1" ht="15" hidden="1" customHeight="1" thickTop="1" x14ac:dyDescent="0.6">
      <c r="A27" s="243" t="s">
        <v>21</v>
      </c>
      <c r="B27" s="243"/>
      <c r="C27" s="41">
        <v>0</v>
      </c>
      <c r="D27" s="205">
        <f>C27/3</f>
        <v>0</v>
      </c>
      <c r="E27" s="81">
        <v>0</v>
      </c>
      <c r="F27" s="19">
        <f>E27/3</f>
        <v>0</v>
      </c>
      <c r="G27" s="136">
        <f>ROUND(F27*C27, 0)</f>
        <v>0</v>
      </c>
      <c r="H27" s="136">
        <f>ROUND(G27*Rates!B$4, 0)</f>
        <v>0</v>
      </c>
      <c r="I27" s="136">
        <f>G27+H27</f>
        <v>0</v>
      </c>
      <c r="J27" s="18"/>
      <c r="K27" s="41">
        <v>0</v>
      </c>
      <c r="L27" s="205">
        <f>K27/3</f>
        <v>0</v>
      </c>
      <c r="M27" s="81">
        <f>E27*1.02</f>
        <v>0</v>
      </c>
      <c r="N27" s="19">
        <f>M27/3</f>
        <v>0</v>
      </c>
      <c r="O27" s="136">
        <f>ROUND(N27*K27, 0)</f>
        <v>0</v>
      </c>
      <c r="P27" s="136">
        <f>ROUND(O27*Rates!C$4, 0)</f>
        <v>0</v>
      </c>
      <c r="Q27" s="136">
        <f>O27+P27</f>
        <v>0</v>
      </c>
      <c r="R27" s="18"/>
      <c r="S27" s="41">
        <v>0</v>
      </c>
      <c r="T27" s="205">
        <f>S27/3</f>
        <v>0</v>
      </c>
      <c r="U27" s="81">
        <f>M27*1.02</f>
        <v>0</v>
      </c>
      <c r="V27" s="19">
        <f>U27/3</f>
        <v>0</v>
      </c>
      <c r="W27" s="136">
        <f>ROUND(V27*S27, 0)</f>
        <v>0</v>
      </c>
      <c r="X27" s="136">
        <f>ROUND(W27*Rates!D$4, 0)</f>
        <v>0</v>
      </c>
      <c r="Y27" s="136">
        <f>W27+X27</f>
        <v>0</v>
      </c>
      <c r="Z27" s="18"/>
      <c r="AA27" s="41">
        <v>0</v>
      </c>
      <c r="AB27" s="205">
        <f>AA27/3</f>
        <v>0</v>
      </c>
      <c r="AC27" s="81">
        <f>U27*1.02</f>
        <v>0</v>
      </c>
      <c r="AD27" s="19">
        <f>AC27/3</f>
        <v>0</v>
      </c>
      <c r="AE27" s="136">
        <f>ROUND(AD27*AA27, 0)</f>
        <v>0</v>
      </c>
      <c r="AF27" s="136">
        <f>ROUND(AE27*Rates!E$4, 0)</f>
        <v>0</v>
      </c>
      <c r="AG27" s="136">
        <f>AE27+AF27</f>
        <v>0</v>
      </c>
      <c r="AH27" s="18"/>
      <c r="AI27" s="41">
        <v>0</v>
      </c>
      <c r="AJ27" s="205">
        <f>AI27/3</f>
        <v>0</v>
      </c>
      <c r="AK27" s="81">
        <f>AC27*1.02</f>
        <v>0</v>
      </c>
      <c r="AL27" s="19">
        <f>AK27/3</f>
        <v>0</v>
      </c>
      <c r="AM27" s="136">
        <f>ROUND(AL27*AI27, 0)</f>
        <v>0</v>
      </c>
      <c r="AN27" s="136">
        <f>ROUND(AM27*Rates!F$4, 0)</f>
        <v>0</v>
      </c>
      <c r="AO27" s="136">
        <f>AM27+AN27</f>
        <v>0</v>
      </c>
      <c r="AP27" s="18"/>
      <c r="AQ27" s="148">
        <f t="shared" si="27"/>
        <v>0</v>
      </c>
    </row>
    <row r="28" spans="1:43" ht="15" customHeight="1" thickTop="1" x14ac:dyDescent="0.6">
      <c r="A28" s="241" t="s">
        <v>0</v>
      </c>
      <c r="B28" s="242"/>
      <c r="C28" s="62"/>
      <c r="D28" s="206"/>
      <c r="E28" s="82"/>
      <c r="F28" s="63"/>
      <c r="G28" s="138">
        <f>ROUND(SUM(G23:G27), 0)</f>
        <v>33156</v>
      </c>
      <c r="H28" s="138"/>
      <c r="I28" s="138"/>
      <c r="J28" s="64"/>
      <c r="K28" s="65"/>
      <c r="L28" s="206"/>
      <c r="M28" s="82"/>
      <c r="N28" s="63"/>
      <c r="O28" s="138">
        <f>ROUND(SUM(O23:O27), 0)</f>
        <v>0</v>
      </c>
      <c r="P28" s="138"/>
      <c r="Q28" s="138"/>
      <c r="R28" s="64"/>
      <c r="S28" s="65"/>
      <c r="T28" s="206"/>
      <c r="U28" s="82"/>
      <c r="V28" s="63"/>
      <c r="W28" s="138">
        <f>ROUND(SUM(W23:W27), 0)</f>
        <v>0</v>
      </c>
      <c r="X28" s="138"/>
      <c r="Y28" s="138"/>
      <c r="Z28" s="64"/>
      <c r="AA28" s="65"/>
      <c r="AB28" s="206"/>
      <c r="AC28" s="82"/>
      <c r="AD28" s="63"/>
      <c r="AE28" s="138">
        <f>ROUND(SUM(AE23:AE27), 0)</f>
        <v>0</v>
      </c>
      <c r="AF28" s="138"/>
      <c r="AG28" s="138"/>
      <c r="AH28" s="64"/>
      <c r="AI28" s="65"/>
      <c r="AJ28" s="206"/>
      <c r="AK28" s="82"/>
      <c r="AL28" s="67"/>
      <c r="AM28" s="138">
        <f>ROUND(SUM(AM23:AM27), 0)</f>
        <v>0</v>
      </c>
      <c r="AN28" s="138"/>
      <c r="AO28" s="138"/>
      <c r="AP28" s="64"/>
      <c r="AQ28" s="149">
        <f t="shared" si="27"/>
        <v>33156</v>
      </c>
    </row>
    <row r="29" spans="1:43" ht="15" customHeight="1" x14ac:dyDescent="0.6">
      <c r="A29" s="216" t="s">
        <v>88</v>
      </c>
      <c r="B29" s="210"/>
      <c r="C29" s="43"/>
      <c r="D29" s="207"/>
      <c r="E29" s="58"/>
      <c r="G29" s="136">
        <f>ROUND(G28*Rates!B4, 0)</f>
        <v>4642</v>
      </c>
      <c r="J29" s="18"/>
      <c r="L29" s="207"/>
      <c r="O29" s="136">
        <f>ROUND(O28*Rates!C4, 0)</f>
        <v>0</v>
      </c>
      <c r="R29" s="18"/>
      <c r="T29" s="207"/>
      <c r="W29" s="136">
        <f>ROUND(W28*Rates!D4, 0)</f>
        <v>0</v>
      </c>
      <c r="Z29" s="18"/>
      <c r="AB29" s="207"/>
      <c r="AE29" s="136">
        <f>ROUND(AE28*Rates!E4, 0)</f>
        <v>0</v>
      </c>
      <c r="AH29" s="18"/>
      <c r="AJ29" s="207"/>
      <c r="AL29" s="19"/>
      <c r="AM29" s="136">
        <f>ROUND(AM28*Rates!F4, 0)</f>
        <v>0</v>
      </c>
      <c r="AP29" s="18"/>
      <c r="AQ29" s="148">
        <f t="shared" si="27"/>
        <v>4642</v>
      </c>
    </row>
    <row r="30" spans="1:43" ht="15" customHeight="1" x14ac:dyDescent="0.6">
      <c r="A30" s="209" t="s">
        <v>2</v>
      </c>
      <c r="B30" s="210"/>
      <c r="C30" s="43"/>
      <c r="D30" s="207"/>
      <c r="E30" s="58"/>
      <c r="G30" s="136">
        <f>ROUND(SUM(G28:G29), 0)</f>
        <v>37798</v>
      </c>
      <c r="J30" s="18"/>
      <c r="L30" s="207"/>
      <c r="O30" s="136">
        <f>ROUND(SUM(O28:O29), 0)</f>
        <v>0</v>
      </c>
      <c r="R30" s="18"/>
      <c r="T30" s="207"/>
      <c r="W30" s="136">
        <f>ROUND(SUM(W28:W29), 0)</f>
        <v>0</v>
      </c>
      <c r="Z30" s="18"/>
      <c r="AB30" s="207"/>
      <c r="AE30" s="136">
        <f>ROUND(SUM(AE28:AE29), 0)</f>
        <v>0</v>
      </c>
      <c r="AH30" s="18"/>
      <c r="AJ30" s="207"/>
      <c r="AL30" s="19"/>
      <c r="AM30" s="136">
        <f>ROUND(SUM(AM28:AM29), 0)</f>
        <v>0</v>
      </c>
      <c r="AP30" s="18"/>
      <c r="AQ30" s="148">
        <f t="shared" si="27"/>
        <v>37798</v>
      </c>
    </row>
    <row r="31" spans="1:43" ht="15" customHeight="1" x14ac:dyDescent="0.6">
      <c r="A31" s="23"/>
      <c r="C31" s="43"/>
      <c r="D31" s="207"/>
      <c r="E31" s="58"/>
      <c r="J31" s="18"/>
      <c r="L31" s="207"/>
      <c r="R31" s="18"/>
      <c r="T31" s="207"/>
      <c r="Z31" s="18"/>
      <c r="AB31" s="207"/>
      <c r="AH31" s="18"/>
      <c r="AJ31" s="207"/>
      <c r="AL31" s="19"/>
      <c r="AP31" s="18"/>
      <c r="AQ31" s="148"/>
    </row>
    <row r="32" spans="1:43" ht="15" hidden="1" customHeight="1" x14ac:dyDescent="0.7">
      <c r="A32" s="222" t="s">
        <v>3</v>
      </c>
      <c r="B32" s="223"/>
      <c r="C32" s="43"/>
      <c r="D32" s="207"/>
      <c r="E32" s="58"/>
      <c r="J32" s="18"/>
      <c r="L32" s="207"/>
      <c r="R32" s="18"/>
      <c r="T32" s="207"/>
      <c r="Z32" s="18"/>
      <c r="AB32" s="207"/>
      <c r="AH32" s="18"/>
      <c r="AJ32" s="207"/>
      <c r="AL32" s="19"/>
      <c r="AP32" s="18"/>
      <c r="AQ32" s="148"/>
    </row>
    <row r="33" spans="1:43" ht="15" hidden="1" customHeight="1" x14ac:dyDescent="0.6">
      <c r="A33" s="209" t="s">
        <v>21</v>
      </c>
      <c r="B33" s="210"/>
      <c r="C33" s="12">
        <v>0</v>
      </c>
      <c r="D33" s="207">
        <f>C33/12</f>
        <v>0</v>
      </c>
      <c r="E33" s="58">
        <v>0</v>
      </c>
      <c r="F33" s="4">
        <f>E33/12</f>
        <v>0</v>
      </c>
      <c r="G33" s="136">
        <f>ROUND(F33*C33, 0)</f>
        <v>0</v>
      </c>
      <c r="H33" s="136">
        <f>ROUND(G33*Rates!B$5, 0)</f>
        <v>0</v>
      </c>
      <c r="I33" s="136">
        <f>G33+H33</f>
        <v>0</v>
      </c>
      <c r="J33" s="18"/>
      <c r="K33" s="12">
        <v>0</v>
      </c>
      <c r="L33" s="207">
        <f>K33/12</f>
        <v>0</v>
      </c>
      <c r="M33" s="58">
        <f>E33*1.02</f>
        <v>0</v>
      </c>
      <c r="N33" s="4">
        <f>M33/12</f>
        <v>0</v>
      </c>
      <c r="O33" s="136">
        <f>ROUND(N33*K33, 0)</f>
        <v>0</v>
      </c>
      <c r="P33" s="136">
        <f>ROUND(O33*Rates!C$5, 0)</f>
        <v>0</v>
      </c>
      <c r="Q33" s="136">
        <f>O33+P33</f>
        <v>0</v>
      </c>
      <c r="R33" s="18"/>
      <c r="S33" s="12">
        <v>0</v>
      </c>
      <c r="T33" s="207">
        <f>S33/12</f>
        <v>0</v>
      </c>
      <c r="U33" s="58">
        <f>M33*1.02</f>
        <v>0</v>
      </c>
      <c r="V33" s="4">
        <f>U33/12</f>
        <v>0</v>
      </c>
      <c r="W33" s="136">
        <f>ROUND(V33*S33, 0)</f>
        <v>0</v>
      </c>
      <c r="X33" s="136">
        <f>ROUND(W33*Rates!D$5, 0)</f>
        <v>0</v>
      </c>
      <c r="Y33" s="136">
        <f>W33+X33</f>
        <v>0</v>
      </c>
      <c r="Z33" s="18"/>
      <c r="AA33" s="12">
        <v>0</v>
      </c>
      <c r="AB33" s="207">
        <f>AA33/12</f>
        <v>0</v>
      </c>
      <c r="AC33" s="58">
        <f>U33*1.02</f>
        <v>0</v>
      </c>
      <c r="AD33" s="4">
        <f>AC33/12</f>
        <v>0</v>
      </c>
      <c r="AE33" s="136">
        <f>ROUND(AD33*AA33, 0)</f>
        <v>0</v>
      </c>
      <c r="AF33" s="136">
        <f>ROUND(AE33*Rates!E$5, 0)</f>
        <v>0</v>
      </c>
      <c r="AG33" s="136">
        <f>AE33+AF33</f>
        <v>0</v>
      </c>
      <c r="AH33" s="18"/>
      <c r="AI33" s="12">
        <v>0</v>
      </c>
      <c r="AJ33" s="207">
        <f>AI33/12</f>
        <v>0</v>
      </c>
      <c r="AK33" s="58">
        <f>AC33*1.02</f>
        <v>0</v>
      </c>
      <c r="AL33" s="4">
        <f>AK33/12</f>
        <v>0</v>
      </c>
      <c r="AM33" s="136">
        <f>ROUND(AL33*AI33, 0)</f>
        <v>0</v>
      </c>
      <c r="AN33" s="136">
        <f>ROUND(AM33*Rates!F$5, 0)</f>
        <v>0</v>
      </c>
      <c r="AO33" s="136">
        <f>AM33+AN33</f>
        <v>0</v>
      </c>
      <c r="AP33" s="18"/>
      <c r="AQ33" s="148">
        <f t="shared" ref="AQ33:AQ38" si="28">SUM(G33+O33+W33+AE33+AM33)</f>
        <v>0</v>
      </c>
    </row>
    <row r="34" spans="1:43" ht="15" hidden="1" customHeight="1" x14ac:dyDescent="0.6">
      <c r="A34" s="209" t="s">
        <v>21</v>
      </c>
      <c r="B34" s="210"/>
      <c r="C34" s="12">
        <v>0</v>
      </c>
      <c r="D34" s="207">
        <f>C34/12</f>
        <v>0</v>
      </c>
      <c r="E34" s="58">
        <v>0</v>
      </c>
      <c r="F34" s="4">
        <f>E34/12</f>
        <v>0</v>
      </c>
      <c r="G34" s="136">
        <f>ROUND(F34*C34, 0)</f>
        <v>0</v>
      </c>
      <c r="H34" s="136">
        <f>ROUND(G34*Rates!B$5, 0)</f>
        <v>0</v>
      </c>
      <c r="I34" s="136">
        <f>G34+H34</f>
        <v>0</v>
      </c>
      <c r="J34" s="18"/>
      <c r="K34" s="12">
        <v>0</v>
      </c>
      <c r="L34" s="207">
        <f>K34/12</f>
        <v>0</v>
      </c>
      <c r="M34" s="58">
        <f>E34*1.02</f>
        <v>0</v>
      </c>
      <c r="N34" s="19">
        <f>M34/12</f>
        <v>0</v>
      </c>
      <c r="O34" s="136">
        <f>ROUND(N34*K34, 0)</f>
        <v>0</v>
      </c>
      <c r="P34" s="136">
        <f>ROUND(O34*Rates!C$5, 0)</f>
        <v>0</v>
      </c>
      <c r="Q34" s="136">
        <f>O34+P34</f>
        <v>0</v>
      </c>
      <c r="R34" s="18"/>
      <c r="S34" s="12">
        <v>0</v>
      </c>
      <c r="T34" s="207">
        <f>S34/12</f>
        <v>0</v>
      </c>
      <c r="U34" s="58">
        <f>M34*1.02</f>
        <v>0</v>
      </c>
      <c r="V34" s="19">
        <f>U34/12</f>
        <v>0</v>
      </c>
      <c r="W34" s="136">
        <f>ROUND(V34*S34, 0)</f>
        <v>0</v>
      </c>
      <c r="X34" s="136">
        <f>ROUND(W34*Rates!D$5, 0)</f>
        <v>0</v>
      </c>
      <c r="Y34" s="136">
        <f>W34+X34</f>
        <v>0</v>
      </c>
      <c r="Z34" s="18"/>
      <c r="AA34" s="12">
        <v>0</v>
      </c>
      <c r="AB34" s="207">
        <f>AA34/12</f>
        <v>0</v>
      </c>
      <c r="AC34" s="58">
        <f>U34*1.02</f>
        <v>0</v>
      </c>
      <c r="AD34" s="19">
        <f>AC34/12</f>
        <v>0</v>
      </c>
      <c r="AE34" s="136">
        <f>ROUND(AD34*AA34, 0)</f>
        <v>0</v>
      </c>
      <c r="AF34" s="136">
        <f>ROUND(AE34*Rates!E$5, 0)</f>
        <v>0</v>
      </c>
      <c r="AG34" s="136">
        <f>AE34+AF34</f>
        <v>0</v>
      </c>
      <c r="AH34" s="18"/>
      <c r="AI34" s="12">
        <v>0</v>
      </c>
      <c r="AJ34" s="207">
        <f>AI34/12</f>
        <v>0</v>
      </c>
      <c r="AK34" s="58">
        <f>AC34*1.02</f>
        <v>0</v>
      </c>
      <c r="AL34" s="19">
        <f>AK34/12</f>
        <v>0</v>
      </c>
      <c r="AM34" s="136">
        <f>ROUND(AL34*AI34, 0)</f>
        <v>0</v>
      </c>
      <c r="AN34" s="136">
        <f>ROUND(AM34*Rates!F$5, 0)</f>
        <v>0</v>
      </c>
      <c r="AO34" s="136">
        <f>AM34+AN34</f>
        <v>0</v>
      </c>
      <c r="AP34" s="18"/>
      <c r="AQ34" s="148">
        <f t="shared" si="28"/>
        <v>0</v>
      </c>
    </row>
    <row r="35" spans="1:43" ht="15" hidden="1" customHeight="1" x14ac:dyDescent="0.6">
      <c r="A35" s="216" t="s">
        <v>21</v>
      </c>
      <c r="B35" s="217"/>
      <c r="C35" s="12">
        <v>0</v>
      </c>
      <c r="D35" s="207">
        <f>C35/12</f>
        <v>0</v>
      </c>
      <c r="E35" s="58">
        <v>0</v>
      </c>
      <c r="F35" s="4">
        <f>E35/12</f>
        <v>0</v>
      </c>
      <c r="G35" s="136">
        <f>ROUND(F35*C35, 0)</f>
        <v>0</v>
      </c>
      <c r="H35" s="136">
        <f>ROUND(G35*Rates!B$5, 0)</f>
        <v>0</v>
      </c>
      <c r="I35" s="136">
        <f>G35+H35</f>
        <v>0</v>
      </c>
      <c r="J35" s="18"/>
      <c r="K35" s="12">
        <v>0</v>
      </c>
      <c r="L35" s="207">
        <f>K35/12</f>
        <v>0</v>
      </c>
      <c r="M35" s="58">
        <f>E35*1.02</f>
        <v>0</v>
      </c>
      <c r="N35" s="19">
        <f>M35/12</f>
        <v>0</v>
      </c>
      <c r="O35" s="136">
        <f>ROUND(N35*K35, 0)</f>
        <v>0</v>
      </c>
      <c r="P35" s="136">
        <f>ROUND(O35*Rates!C$5, 0)</f>
        <v>0</v>
      </c>
      <c r="Q35" s="136">
        <f>O35+P35</f>
        <v>0</v>
      </c>
      <c r="R35" s="18"/>
      <c r="S35" s="12">
        <v>0</v>
      </c>
      <c r="T35" s="207">
        <f>S35/12</f>
        <v>0</v>
      </c>
      <c r="U35" s="58">
        <f>M35*1.02</f>
        <v>0</v>
      </c>
      <c r="V35" s="19">
        <f>U35/12</f>
        <v>0</v>
      </c>
      <c r="W35" s="136">
        <f>ROUND(V35*S35, 0)</f>
        <v>0</v>
      </c>
      <c r="X35" s="136">
        <f>ROUND(W35*Rates!D$5, 0)</f>
        <v>0</v>
      </c>
      <c r="Y35" s="136">
        <f>W35+X35</f>
        <v>0</v>
      </c>
      <c r="Z35" s="18"/>
      <c r="AA35" s="12">
        <v>0</v>
      </c>
      <c r="AB35" s="207">
        <f>AA35/12</f>
        <v>0</v>
      </c>
      <c r="AC35" s="58">
        <f>U35*1.02</f>
        <v>0</v>
      </c>
      <c r="AD35" s="19">
        <f>AC35/12</f>
        <v>0</v>
      </c>
      <c r="AE35" s="136">
        <f>ROUND(AD35*AA35, 0)</f>
        <v>0</v>
      </c>
      <c r="AF35" s="136">
        <f>ROUND(AE35*Rates!E$5, 0)</f>
        <v>0</v>
      </c>
      <c r="AG35" s="136">
        <f>AE35+AF35</f>
        <v>0</v>
      </c>
      <c r="AH35" s="18"/>
      <c r="AI35" s="12">
        <v>0</v>
      </c>
      <c r="AJ35" s="207">
        <f>AI35/12</f>
        <v>0</v>
      </c>
      <c r="AK35" s="58">
        <f>AC35*1.02</f>
        <v>0</v>
      </c>
      <c r="AL35" s="19">
        <f>AK35/12</f>
        <v>0</v>
      </c>
      <c r="AM35" s="136">
        <f>ROUND(AL35*AI35, 0)</f>
        <v>0</v>
      </c>
      <c r="AN35" s="136">
        <f>ROUND(AM35*Rates!F$5, 0)</f>
        <v>0</v>
      </c>
      <c r="AO35" s="136">
        <f>AM35+AN35</f>
        <v>0</v>
      </c>
      <c r="AP35" s="18"/>
      <c r="AQ35" s="148">
        <f t="shared" si="28"/>
        <v>0</v>
      </c>
    </row>
    <row r="36" spans="1:43" ht="15" hidden="1" customHeight="1" x14ac:dyDescent="0.6">
      <c r="A36" s="211" t="s">
        <v>0</v>
      </c>
      <c r="B36" s="212"/>
      <c r="C36" s="62"/>
      <c r="D36" s="206"/>
      <c r="E36" s="82"/>
      <c r="F36" s="63"/>
      <c r="G36" s="138">
        <f>ROUND(SUM(G33:G35), 0)</f>
        <v>0</v>
      </c>
      <c r="H36" s="138"/>
      <c r="I36" s="138"/>
      <c r="J36" s="64"/>
      <c r="K36" s="62"/>
      <c r="L36" s="206"/>
      <c r="M36" s="82"/>
      <c r="N36" s="67"/>
      <c r="O36" s="138">
        <f>ROUND(SUM(O33:O35), 0)</f>
        <v>0</v>
      </c>
      <c r="P36" s="138"/>
      <c r="Q36" s="138"/>
      <c r="R36" s="64"/>
      <c r="S36" s="62"/>
      <c r="T36" s="206"/>
      <c r="U36" s="82"/>
      <c r="V36" s="67"/>
      <c r="W36" s="138">
        <f>ROUND(SUM(W33:W35), 0)</f>
        <v>0</v>
      </c>
      <c r="X36" s="138"/>
      <c r="Y36" s="138"/>
      <c r="Z36" s="64"/>
      <c r="AA36" s="62"/>
      <c r="AB36" s="206"/>
      <c r="AC36" s="82"/>
      <c r="AD36" s="67"/>
      <c r="AE36" s="138">
        <f>ROUND(SUM(AE33:AE35), 0)</f>
        <v>0</v>
      </c>
      <c r="AF36" s="138"/>
      <c r="AG36" s="138"/>
      <c r="AH36" s="64"/>
      <c r="AI36" s="62"/>
      <c r="AJ36" s="206"/>
      <c r="AK36" s="82"/>
      <c r="AL36" s="67"/>
      <c r="AM36" s="138">
        <f>ROUND(SUM(AM33:AM35), 0)</f>
        <v>0</v>
      </c>
      <c r="AN36" s="138"/>
      <c r="AO36" s="138"/>
      <c r="AP36" s="64"/>
      <c r="AQ36" s="149">
        <f t="shared" si="28"/>
        <v>0</v>
      </c>
    </row>
    <row r="37" spans="1:43" ht="15" hidden="1" customHeight="1" x14ac:dyDescent="0.6">
      <c r="A37" s="216" t="s">
        <v>89</v>
      </c>
      <c r="B37" s="210"/>
      <c r="C37" s="43"/>
      <c r="D37" s="207"/>
      <c r="E37" s="58"/>
      <c r="G37" s="136">
        <f>ROUND(G36*Rates!B5, 0)</f>
        <v>0</v>
      </c>
      <c r="J37" s="18"/>
      <c r="L37" s="207"/>
      <c r="O37" s="136">
        <f>ROUND(O36*Rates!C5, 0)</f>
        <v>0</v>
      </c>
      <c r="R37" s="18"/>
      <c r="T37" s="207"/>
      <c r="W37" s="136">
        <f>ROUND(W36*Rates!D5, 0)</f>
        <v>0</v>
      </c>
      <c r="Z37" s="18"/>
      <c r="AB37" s="207"/>
      <c r="AE37" s="136">
        <f>ROUND(AE36*Rates!E5, 0)</f>
        <v>0</v>
      </c>
      <c r="AH37" s="18"/>
      <c r="AJ37" s="207"/>
      <c r="AL37" s="19"/>
      <c r="AM37" s="136">
        <f>ROUND(AM36*Rates!F5, 0)</f>
        <v>0</v>
      </c>
      <c r="AP37" s="18"/>
      <c r="AQ37" s="148">
        <f t="shared" si="28"/>
        <v>0</v>
      </c>
    </row>
    <row r="38" spans="1:43" ht="15" hidden="1" customHeight="1" x14ac:dyDescent="0.6">
      <c r="A38" s="209" t="s">
        <v>2</v>
      </c>
      <c r="B38" s="210"/>
      <c r="C38" s="43"/>
      <c r="D38" s="207"/>
      <c r="E38" s="58"/>
      <c r="G38" s="136">
        <f>ROUND(SUM(G36:G37), 0)</f>
        <v>0</v>
      </c>
      <c r="J38" s="18"/>
      <c r="L38" s="207"/>
      <c r="O38" s="136">
        <f>ROUND(SUM(O36:O37), 0)</f>
        <v>0</v>
      </c>
      <c r="R38" s="18"/>
      <c r="T38" s="207"/>
      <c r="W38" s="136">
        <f>ROUND(SUM(W36:W37), 0)</f>
        <v>0</v>
      </c>
      <c r="Z38" s="18"/>
      <c r="AB38" s="207"/>
      <c r="AE38" s="136">
        <f>ROUND(SUM(AE36:AE37), 0)</f>
        <v>0</v>
      </c>
      <c r="AH38" s="18"/>
      <c r="AJ38" s="207"/>
      <c r="AL38" s="19"/>
      <c r="AM38" s="136">
        <f>ROUND(SUM(AM36:AM37), 0)</f>
        <v>0</v>
      </c>
      <c r="AP38" s="18"/>
      <c r="AQ38" s="148">
        <f t="shared" si="28"/>
        <v>0</v>
      </c>
    </row>
    <row r="39" spans="1:43" ht="15" hidden="1" customHeight="1" x14ac:dyDescent="0.6">
      <c r="A39" s="23"/>
      <c r="C39" s="43"/>
      <c r="D39" s="207"/>
      <c r="E39" s="58"/>
      <c r="J39" s="18"/>
      <c r="L39" s="207"/>
      <c r="R39" s="18"/>
      <c r="T39" s="207"/>
      <c r="Z39" s="18"/>
      <c r="AB39" s="207"/>
      <c r="AH39" s="18"/>
      <c r="AJ39" s="207"/>
      <c r="AL39" s="19"/>
      <c r="AP39" s="18"/>
      <c r="AQ39" s="148"/>
    </row>
    <row r="40" spans="1:43" ht="15" hidden="1" customHeight="1" x14ac:dyDescent="0.7">
      <c r="A40" s="239" t="s">
        <v>36</v>
      </c>
      <c r="B40" s="240"/>
      <c r="C40" s="43"/>
      <c r="D40" s="207"/>
      <c r="E40" s="58"/>
      <c r="J40" s="18"/>
      <c r="L40" s="207"/>
      <c r="R40" s="18"/>
      <c r="T40" s="207"/>
      <c r="Z40" s="18"/>
      <c r="AB40" s="207"/>
      <c r="AH40" s="18"/>
      <c r="AJ40" s="207"/>
      <c r="AL40" s="19"/>
      <c r="AP40" s="18"/>
      <c r="AQ40" s="148"/>
    </row>
    <row r="41" spans="1:43" ht="15" hidden="1" customHeight="1" x14ac:dyDescent="0.6">
      <c r="A41" s="213" t="s">
        <v>23</v>
      </c>
      <c r="B41" s="213"/>
      <c r="C41" s="12">
        <v>0</v>
      </c>
      <c r="D41" s="207">
        <f>C41/12</f>
        <v>0</v>
      </c>
      <c r="E41" s="58">
        <v>0</v>
      </c>
      <c r="F41" s="4">
        <f>E41/12</f>
        <v>0</v>
      </c>
      <c r="G41" s="136">
        <f>ROUND(F41*C41, 0)</f>
        <v>0</v>
      </c>
      <c r="H41" s="136">
        <f>ROUND(G41*Rates!B$6, 0)</f>
        <v>0</v>
      </c>
      <c r="I41" s="136">
        <f>G41+H41</f>
        <v>0</v>
      </c>
      <c r="J41" s="18"/>
      <c r="K41" s="12">
        <v>0</v>
      </c>
      <c r="L41" s="207">
        <f>K41/12</f>
        <v>0</v>
      </c>
      <c r="M41" s="58">
        <f>E41*1.02</f>
        <v>0</v>
      </c>
      <c r="N41" s="19">
        <f>M41/12</f>
        <v>0</v>
      </c>
      <c r="O41" s="136">
        <f>ROUND(N41*K41, 0)</f>
        <v>0</v>
      </c>
      <c r="P41" s="136">
        <f>ROUND(O41*Rates!C$6, 0)</f>
        <v>0</v>
      </c>
      <c r="Q41" s="136">
        <f>O41+P41</f>
        <v>0</v>
      </c>
      <c r="R41" s="18"/>
      <c r="S41" s="12">
        <v>0</v>
      </c>
      <c r="T41" s="207">
        <f>S41/12</f>
        <v>0</v>
      </c>
      <c r="U41" s="58">
        <f>M41*1.02</f>
        <v>0</v>
      </c>
      <c r="V41" s="19">
        <f>U41/12</f>
        <v>0</v>
      </c>
      <c r="W41" s="136">
        <f>ROUND(V41*S41, 0)</f>
        <v>0</v>
      </c>
      <c r="X41" s="136">
        <f>ROUND(W41*Rates!D$6, 0)</f>
        <v>0</v>
      </c>
      <c r="Y41" s="136">
        <f t="shared" ref="Y41:Y49" si="29">W41+X41</f>
        <v>0</v>
      </c>
      <c r="Z41" s="18"/>
      <c r="AA41" s="12">
        <v>0</v>
      </c>
      <c r="AB41" s="207">
        <f>AA41/12</f>
        <v>0</v>
      </c>
      <c r="AC41" s="58">
        <f t="shared" ref="AC41:AC49" si="30">U41*1.02</f>
        <v>0</v>
      </c>
      <c r="AD41" s="19">
        <f>AC41/12</f>
        <v>0</v>
      </c>
      <c r="AE41" s="136">
        <f>ROUND(AD41*AA41, 0)</f>
        <v>0</v>
      </c>
      <c r="AF41" s="136">
        <f>ROUND(AE41*Rates!E$6, 0)</f>
        <v>0</v>
      </c>
      <c r="AG41" s="136">
        <f>AE41+AF41</f>
        <v>0</v>
      </c>
      <c r="AH41" s="18"/>
      <c r="AI41" s="12">
        <v>0</v>
      </c>
      <c r="AJ41" s="207">
        <f>AI41/12</f>
        <v>0</v>
      </c>
      <c r="AK41" s="58">
        <f>AC41*1.02</f>
        <v>0</v>
      </c>
      <c r="AL41" s="19">
        <f>AK41/12</f>
        <v>0</v>
      </c>
      <c r="AM41" s="136">
        <f>ROUND(AL41*AI41, 0)</f>
        <v>0</v>
      </c>
      <c r="AN41" s="136">
        <f>ROUND(AM41*Rates!F$6, 0)</f>
        <v>0</v>
      </c>
      <c r="AO41" s="136">
        <f>AM41+AN41</f>
        <v>0</v>
      </c>
      <c r="AP41" s="18"/>
      <c r="AQ41" s="148">
        <f t="shared" ref="AQ41:AQ52" si="31">SUM(G41+O41+W41+AE41+AM41)</f>
        <v>0</v>
      </c>
    </row>
    <row r="42" spans="1:43" ht="15" hidden="1" customHeight="1" x14ac:dyDescent="0.6">
      <c r="A42" s="213" t="s">
        <v>23</v>
      </c>
      <c r="B42" s="213"/>
      <c r="C42" s="12">
        <v>0</v>
      </c>
      <c r="D42" s="207">
        <f>C42/12</f>
        <v>0</v>
      </c>
      <c r="E42" s="58">
        <v>0</v>
      </c>
      <c r="F42" s="4">
        <f>E42/12</f>
        <v>0</v>
      </c>
      <c r="G42" s="136">
        <f>ROUND(F42*C42, 0)</f>
        <v>0</v>
      </c>
      <c r="H42" s="136">
        <f>ROUND(G42*Rates!B$6, 0)</f>
        <v>0</v>
      </c>
      <c r="I42" s="136">
        <f>G42+H42</f>
        <v>0</v>
      </c>
      <c r="J42" s="18"/>
      <c r="K42" s="12">
        <v>0</v>
      </c>
      <c r="L42" s="207">
        <f>K42/12</f>
        <v>0</v>
      </c>
      <c r="M42" s="58">
        <f>E42*1.02</f>
        <v>0</v>
      </c>
      <c r="N42" s="19">
        <f>M42/12</f>
        <v>0</v>
      </c>
      <c r="O42" s="136">
        <f>ROUND(N42*K42, 0)</f>
        <v>0</v>
      </c>
      <c r="P42" s="136">
        <f>ROUND(O42*Rates!C$6, 0)</f>
        <v>0</v>
      </c>
      <c r="Q42" s="136">
        <f>O42+P42</f>
        <v>0</v>
      </c>
      <c r="R42" s="18"/>
      <c r="S42" s="12">
        <v>0</v>
      </c>
      <c r="T42" s="207">
        <f>S42/12</f>
        <v>0</v>
      </c>
      <c r="U42" s="58">
        <f>M42*1.02</f>
        <v>0</v>
      </c>
      <c r="V42" s="19">
        <f>U42/12</f>
        <v>0</v>
      </c>
      <c r="W42" s="136">
        <f>ROUND(V42*S42, 0)</f>
        <v>0</v>
      </c>
      <c r="X42" s="136">
        <f>ROUND(W42*Rates!D$6, 0)</f>
        <v>0</v>
      </c>
      <c r="Y42" s="136">
        <f t="shared" si="29"/>
        <v>0</v>
      </c>
      <c r="Z42" s="18"/>
      <c r="AA42" s="12">
        <v>0</v>
      </c>
      <c r="AB42" s="207">
        <f>AA42/12</f>
        <v>0</v>
      </c>
      <c r="AC42" s="58">
        <f t="shared" si="30"/>
        <v>0</v>
      </c>
      <c r="AD42" s="19">
        <f>AC42/12</f>
        <v>0</v>
      </c>
      <c r="AE42" s="136">
        <f>ROUND(AD42*AA42, 0)</f>
        <v>0</v>
      </c>
      <c r="AF42" s="136">
        <f>ROUND(AE42*Rates!E$6, 0)</f>
        <v>0</v>
      </c>
      <c r="AG42" s="136">
        <f>AE42+AF42</f>
        <v>0</v>
      </c>
      <c r="AH42" s="18"/>
      <c r="AI42" s="12">
        <v>0</v>
      </c>
      <c r="AJ42" s="207">
        <f>AI42/12</f>
        <v>0</v>
      </c>
      <c r="AK42" s="58">
        <f>AC42*1.02</f>
        <v>0</v>
      </c>
      <c r="AL42" s="19">
        <f>AK42/12</f>
        <v>0</v>
      </c>
      <c r="AM42" s="136">
        <f>ROUND(AL42*AI42, 0)</f>
        <v>0</v>
      </c>
      <c r="AN42" s="136">
        <f>ROUND(AM42*Rates!F$6, 0)</f>
        <v>0</v>
      </c>
      <c r="AO42" s="136">
        <f>AM42+AN42</f>
        <v>0</v>
      </c>
      <c r="AP42" s="18"/>
      <c r="AQ42" s="148">
        <f t="shared" si="31"/>
        <v>0</v>
      </c>
    </row>
    <row r="43" spans="1:43" ht="15" hidden="1" customHeight="1" x14ac:dyDescent="0.6">
      <c r="A43" s="213" t="s">
        <v>23</v>
      </c>
      <c r="B43" s="213"/>
      <c r="C43" s="12">
        <v>0</v>
      </c>
      <c r="D43" s="207">
        <f>C43/12</f>
        <v>0</v>
      </c>
      <c r="E43" s="58">
        <v>0</v>
      </c>
      <c r="F43" s="4">
        <f>E43/12</f>
        <v>0</v>
      </c>
      <c r="G43" s="136">
        <f>ROUND(F43*C43, 0)</f>
        <v>0</v>
      </c>
      <c r="H43" s="136">
        <f>ROUND(G43*Rates!B$6, 0)</f>
        <v>0</v>
      </c>
      <c r="I43" s="136">
        <f>G43+H43</f>
        <v>0</v>
      </c>
      <c r="J43" s="18"/>
      <c r="K43" s="12">
        <v>0</v>
      </c>
      <c r="L43" s="207">
        <f>K43/12</f>
        <v>0</v>
      </c>
      <c r="M43" s="58">
        <f>E43*1.02</f>
        <v>0</v>
      </c>
      <c r="N43" s="19">
        <f>M43/12</f>
        <v>0</v>
      </c>
      <c r="O43" s="136">
        <f>ROUND(N43*K43, 0)</f>
        <v>0</v>
      </c>
      <c r="P43" s="136">
        <f>ROUND(O43*Rates!C$6, 0)</f>
        <v>0</v>
      </c>
      <c r="Q43" s="136">
        <f>O43+P43</f>
        <v>0</v>
      </c>
      <c r="R43" s="18"/>
      <c r="S43" s="12">
        <v>0</v>
      </c>
      <c r="T43" s="207">
        <f>S43/12</f>
        <v>0</v>
      </c>
      <c r="U43" s="58">
        <f>M43*1.02</f>
        <v>0</v>
      </c>
      <c r="V43" s="19">
        <f>U43/12</f>
        <v>0</v>
      </c>
      <c r="W43" s="136">
        <f>ROUND(V43*S43, 0)</f>
        <v>0</v>
      </c>
      <c r="X43" s="136">
        <f>ROUND(W43*Rates!D$6, 0)</f>
        <v>0</v>
      </c>
      <c r="Y43" s="136">
        <f t="shared" si="29"/>
        <v>0</v>
      </c>
      <c r="Z43" s="18"/>
      <c r="AA43" s="12">
        <v>0</v>
      </c>
      <c r="AB43" s="207">
        <f>AA43/12</f>
        <v>0</v>
      </c>
      <c r="AC43" s="58">
        <f t="shared" si="30"/>
        <v>0</v>
      </c>
      <c r="AD43" s="19">
        <f>AC43/12</f>
        <v>0</v>
      </c>
      <c r="AE43" s="136">
        <f>ROUND(AD43*AA43, 0)</f>
        <v>0</v>
      </c>
      <c r="AF43" s="136">
        <f>ROUND(AE43*Rates!E$6, 0)</f>
        <v>0</v>
      </c>
      <c r="AG43" s="136">
        <f>AE43+AF43</f>
        <v>0</v>
      </c>
      <c r="AH43" s="18"/>
      <c r="AI43" s="12">
        <v>0</v>
      </c>
      <c r="AJ43" s="207">
        <f>AI43/12</f>
        <v>0</v>
      </c>
      <c r="AK43" s="58">
        <f>AC43*1.02</f>
        <v>0</v>
      </c>
      <c r="AL43" s="19">
        <f>AK43/12</f>
        <v>0</v>
      </c>
      <c r="AM43" s="136">
        <f>ROUND(AL43*AI43, 0)</f>
        <v>0</v>
      </c>
      <c r="AN43" s="136">
        <f>ROUND(AM43*Rates!F$6, 0)</f>
        <v>0</v>
      </c>
      <c r="AO43" s="136">
        <f>AM43+AN43</f>
        <v>0</v>
      </c>
      <c r="AP43" s="18"/>
      <c r="AQ43" s="148">
        <f t="shared" si="31"/>
        <v>0</v>
      </c>
    </row>
    <row r="44" spans="1:43" ht="15" hidden="1" customHeight="1" x14ac:dyDescent="0.6">
      <c r="A44" s="213" t="s">
        <v>22</v>
      </c>
      <c r="B44" s="213"/>
      <c r="C44" s="12">
        <v>0</v>
      </c>
      <c r="D44" s="207">
        <f>C44/9</f>
        <v>0</v>
      </c>
      <c r="E44" s="58">
        <v>0</v>
      </c>
      <c r="F44" s="4">
        <f>E44/9</f>
        <v>0</v>
      </c>
      <c r="G44" s="136">
        <f t="shared" ref="G44:G49" si="32">ROUND(F44*C44, 0)</f>
        <v>0</v>
      </c>
      <c r="H44" s="136">
        <f>ROUND(G44*Rates!B$6, 0)</f>
        <v>0</v>
      </c>
      <c r="I44" s="136">
        <f t="shared" ref="I44:I49" si="33">G44+H44</f>
        <v>0</v>
      </c>
      <c r="J44" s="18"/>
      <c r="K44" s="12">
        <v>0</v>
      </c>
      <c r="L44" s="207">
        <f>K44/9</f>
        <v>0</v>
      </c>
      <c r="M44" s="58">
        <f t="shared" ref="M44:M49" si="34">E44*1.02</f>
        <v>0</v>
      </c>
      <c r="N44" s="19">
        <f>M44/9</f>
        <v>0</v>
      </c>
      <c r="O44" s="136">
        <f t="shared" ref="O44:O49" si="35">ROUND(N44*K44, 0)</f>
        <v>0</v>
      </c>
      <c r="P44" s="136">
        <f>ROUND(O44*Rates!C$6, 0)</f>
        <v>0</v>
      </c>
      <c r="Q44" s="136">
        <f t="shared" ref="Q44:Q49" si="36">O44+P44</f>
        <v>0</v>
      </c>
      <c r="R44" s="18"/>
      <c r="S44" s="12">
        <v>0</v>
      </c>
      <c r="T44" s="207">
        <f>S44/9</f>
        <v>0</v>
      </c>
      <c r="U44" s="58">
        <f t="shared" ref="U44:U49" si="37">M44*1.02</f>
        <v>0</v>
      </c>
      <c r="V44" s="19">
        <f>U44/9</f>
        <v>0</v>
      </c>
      <c r="W44" s="136">
        <f t="shared" ref="W44:W49" si="38">ROUND(V44*S44, 0)</f>
        <v>0</v>
      </c>
      <c r="X44" s="136">
        <f>ROUND(W44*Rates!D$6, 0)</f>
        <v>0</v>
      </c>
      <c r="Y44" s="136">
        <f t="shared" si="29"/>
        <v>0</v>
      </c>
      <c r="Z44" s="18"/>
      <c r="AA44" s="12">
        <v>0</v>
      </c>
      <c r="AB44" s="207">
        <f>AA44/9</f>
        <v>0</v>
      </c>
      <c r="AC44" s="58">
        <f t="shared" si="30"/>
        <v>0</v>
      </c>
      <c r="AD44" s="19">
        <f>AC44/9</f>
        <v>0</v>
      </c>
      <c r="AE44" s="136">
        <f t="shared" ref="AE44:AE49" si="39">ROUND(AD44*AA44, 0)</f>
        <v>0</v>
      </c>
      <c r="AF44" s="136">
        <f>ROUND(AE44*Rates!E$6, 0)</f>
        <v>0</v>
      </c>
      <c r="AG44" s="136">
        <f t="shared" ref="AG44:AG49" si="40">AE44+AF44</f>
        <v>0</v>
      </c>
      <c r="AH44" s="18"/>
      <c r="AI44" s="12">
        <v>0</v>
      </c>
      <c r="AJ44" s="207">
        <f>AI44/9</f>
        <v>0</v>
      </c>
      <c r="AK44" s="58">
        <f t="shared" ref="AK44:AK49" si="41">AC44*1.02</f>
        <v>0</v>
      </c>
      <c r="AL44" s="19">
        <f>AK44/9</f>
        <v>0</v>
      </c>
      <c r="AM44" s="136">
        <f t="shared" ref="AM44:AM49" si="42">ROUND(AL44*AI44, 0)</f>
        <v>0</v>
      </c>
      <c r="AN44" s="136">
        <f>ROUND(AM44*Rates!F$6, 0)</f>
        <v>0</v>
      </c>
      <c r="AO44" s="136">
        <f t="shared" ref="AO44:AO49" si="43">AM44+AN44</f>
        <v>0</v>
      </c>
      <c r="AP44" s="18"/>
      <c r="AQ44" s="148">
        <f t="shared" si="31"/>
        <v>0</v>
      </c>
    </row>
    <row r="45" spans="1:43" ht="15" hidden="1" customHeight="1" x14ac:dyDescent="0.6">
      <c r="A45" s="213" t="s">
        <v>22</v>
      </c>
      <c r="B45" s="213"/>
      <c r="C45" s="12">
        <v>0</v>
      </c>
      <c r="D45" s="207">
        <f>C45/9</f>
        <v>0</v>
      </c>
      <c r="E45" s="58">
        <v>0</v>
      </c>
      <c r="F45" s="4">
        <f>E45/9</f>
        <v>0</v>
      </c>
      <c r="G45" s="136">
        <f t="shared" si="32"/>
        <v>0</v>
      </c>
      <c r="H45" s="136">
        <f>ROUND(G45*Rates!B$6, 0)</f>
        <v>0</v>
      </c>
      <c r="I45" s="136">
        <f t="shared" si="33"/>
        <v>0</v>
      </c>
      <c r="J45" s="18"/>
      <c r="K45" s="12">
        <v>0</v>
      </c>
      <c r="L45" s="207">
        <f>K45/9</f>
        <v>0</v>
      </c>
      <c r="M45" s="58">
        <f t="shared" si="34"/>
        <v>0</v>
      </c>
      <c r="N45" s="19">
        <f>M45/9</f>
        <v>0</v>
      </c>
      <c r="O45" s="136">
        <f t="shared" si="35"/>
        <v>0</v>
      </c>
      <c r="P45" s="136">
        <f>ROUND(O45*Rates!C$6, 0)</f>
        <v>0</v>
      </c>
      <c r="Q45" s="136">
        <f t="shared" si="36"/>
        <v>0</v>
      </c>
      <c r="R45" s="18"/>
      <c r="S45" s="12">
        <v>0</v>
      </c>
      <c r="T45" s="207">
        <f>S45/9</f>
        <v>0</v>
      </c>
      <c r="U45" s="58">
        <f t="shared" si="37"/>
        <v>0</v>
      </c>
      <c r="V45" s="19">
        <f>U45/9</f>
        <v>0</v>
      </c>
      <c r="W45" s="136">
        <f t="shared" si="38"/>
        <v>0</v>
      </c>
      <c r="X45" s="136">
        <f>ROUND(W45*Rates!D$6, 0)</f>
        <v>0</v>
      </c>
      <c r="Y45" s="136">
        <f t="shared" si="29"/>
        <v>0</v>
      </c>
      <c r="Z45" s="18"/>
      <c r="AA45" s="12">
        <v>0</v>
      </c>
      <c r="AB45" s="207">
        <f>AA45/9</f>
        <v>0</v>
      </c>
      <c r="AC45" s="58">
        <f t="shared" si="30"/>
        <v>0</v>
      </c>
      <c r="AD45" s="19">
        <f>AC45/9</f>
        <v>0</v>
      </c>
      <c r="AE45" s="136">
        <f t="shared" si="39"/>
        <v>0</v>
      </c>
      <c r="AF45" s="136">
        <f>ROUND(AE45*Rates!E$6, 0)</f>
        <v>0</v>
      </c>
      <c r="AG45" s="136">
        <f t="shared" si="40"/>
        <v>0</v>
      </c>
      <c r="AH45" s="18"/>
      <c r="AI45" s="12">
        <v>0</v>
      </c>
      <c r="AJ45" s="207">
        <f>AI45/9</f>
        <v>0</v>
      </c>
      <c r="AK45" s="58">
        <f t="shared" si="41"/>
        <v>0</v>
      </c>
      <c r="AL45" s="19">
        <f>AK45/9</f>
        <v>0</v>
      </c>
      <c r="AM45" s="136">
        <f t="shared" si="42"/>
        <v>0</v>
      </c>
      <c r="AN45" s="136">
        <f>ROUND(AM45*Rates!F$6, 0)</f>
        <v>0</v>
      </c>
      <c r="AO45" s="136">
        <f t="shared" si="43"/>
        <v>0</v>
      </c>
      <c r="AP45" s="18"/>
      <c r="AQ45" s="148">
        <f t="shared" si="31"/>
        <v>0</v>
      </c>
    </row>
    <row r="46" spans="1:43" ht="15" hidden="1" customHeight="1" x14ac:dyDescent="0.6">
      <c r="A46" s="213" t="s">
        <v>22</v>
      </c>
      <c r="B46" s="213"/>
      <c r="C46" s="12">
        <v>0</v>
      </c>
      <c r="D46" s="207">
        <f>C46/9</f>
        <v>0</v>
      </c>
      <c r="E46" s="58">
        <v>0</v>
      </c>
      <c r="F46" s="4">
        <f>E46/9</f>
        <v>0</v>
      </c>
      <c r="G46" s="136">
        <f t="shared" si="32"/>
        <v>0</v>
      </c>
      <c r="H46" s="136">
        <f>ROUND(G46*Rates!B$6, 0)</f>
        <v>0</v>
      </c>
      <c r="I46" s="136">
        <f t="shared" si="33"/>
        <v>0</v>
      </c>
      <c r="J46" s="18"/>
      <c r="K46" s="12">
        <v>0</v>
      </c>
      <c r="L46" s="207">
        <f>K46/9</f>
        <v>0</v>
      </c>
      <c r="M46" s="58">
        <f t="shared" si="34"/>
        <v>0</v>
      </c>
      <c r="N46" s="19">
        <f>M46/9</f>
        <v>0</v>
      </c>
      <c r="O46" s="136">
        <f t="shared" si="35"/>
        <v>0</v>
      </c>
      <c r="P46" s="136">
        <f>ROUND(O46*Rates!C$6, 0)</f>
        <v>0</v>
      </c>
      <c r="Q46" s="136">
        <f t="shared" si="36"/>
        <v>0</v>
      </c>
      <c r="R46" s="18"/>
      <c r="S46" s="12">
        <v>0</v>
      </c>
      <c r="T46" s="207">
        <f>S46/9</f>
        <v>0</v>
      </c>
      <c r="U46" s="58">
        <f t="shared" si="37"/>
        <v>0</v>
      </c>
      <c r="V46" s="19">
        <f>U46/9</f>
        <v>0</v>
      </c>
      <c r="W46" s="136">
        <f t="shared" si="38"/>
        <v>0</v>
      </c>
      <c r="X46" s="136">
        <f>ROUND(W46*Rates!D$6, 0)</f>
        <v>0</v>
      </c>
      <c r="Y46" s="136">
        <f t="shared" si="29"/>
        <v>0</v>
      </c>
      <c r="Z46" s="18"/>
      <c r="AA46" s="12">
        <v>0</v>
      </c>
      <c r="AB46" s="207">
        <f>AA46/9</f>
        <v>0</v>
      </c>
      <c r="AC46" s="58">
        <f t="shared" si="30"/>
        <v>0</v>
      </c>
      <c r="AD46" s="19">
        <f>AC46/9</f>
        <v>0</v>
      </c>
      <c r="AE46" s="136">
        <f t="shared" si="39"/>
        <v>0</v>
      </c>
      <c r="AF46" s="136">
        <f>ROUND(AE46*Rates!E$6, 0)</f>
        <v>0</v>
      </c>
      <c r="AG46" s="136">
        <f t="shared" si="40"/>
        <v>0</v>
      </c>
      <c r="AH46" s="18"/>
      <c r="AI46" s="12">
        <v>0</v>
      </c>
      <c r="AJ46" s="207">
        <f>AI46/9</f>
        <v>0</v>
      </c>
      <c r="AK46" s="58">
        <f t="shared" si="41"/>
        <v>0</v>
      </c>
      <c r="AL46" s="19">
        <f>AK46/9</f>
        <v>0</v>
      </c>
      <c r="AM46" s="136">
        <f t="shared" si="42"/>
        <v>0</v>
      </c>
      <c r="AN46" s="136">
        <f>ROUND(AM46*Rates!F$6, 0)</f>
        <v>0</v>
      </c>
      <c r="AO46" s="136">
        <f t="shared" si="43"/>
        <v>0</v>
      </c>
      <c r="AP46" s="18"/>
      <c r="AQ46" s="148">
        <f t="shared" si="31"/>
        <v>0</v>
      </c>
    </row>
    <row r="47" spans="1:43" ht="15" hidden="1" customHeight="1" x14ac:dyDescent="0.6">
      <c r="A47" s="213" t="s">
        <v>72</v>
      </c>
      <c r="B47" s="213"/>
      <c r="C47" s="12">
        <v>0</v>
      </c>
      <c r="D47" s="207">
        <f>C47/3</f>
        <v>0</v>
      </c>
      <c r="E47" s="58">
        <v>0</v>
      </c>
      <c r="F47" s="4">
        <f>E47/3</f>
        <v>0</v>
      </c>
      <c r="G47" s="136">
        <f t="shared" si="32"/>
        <v>0</v>
      </c>
      <c r="H47" s="136">
        <f>ROUND(G47*Rates!B$6, 0)</f>
        <v>0</v>
      </c>
      <c r="I47" s="136">
        <f t="shared" si="33"/>
        <v>0</v>
      </c>
      <c r="J47" s="18"/>
      <c r="K47" s="12">
        <v>0</v>
      </c>
      <c r="L47" s="207">
        <f>K47/3</f>
        <v>0</v>
      </c>
      <c r="M47" s="58">
        <f t="shared" si="34"/>
        <v>0</v>
      </c>
      <c r="N47" s="19">
        <f>M47/3</f>
        <v>0</v>
      </c>
      <c r="O47" s="136">
        <f t="shared" si="35"/>
        <v>0</v>
      </c>
      <c r="P47" s="136">
        <f>ROUND(O47*Rates!C$6, 0)</f>
        <v>0</v>
      </c>
      <c r="Q47" s="136">
        <f t="shared" si="36"/>
        <v>0</v>
      </c>
      <c r="R47" s="18"/>
      <c r="S47" s="12">
        <v>0</v>
      </c>
      <c r="T47" s="207">
        <f>S47/3</f>
        <v>0</v>
      </c>
      <c r="U47" s="58">
        <f t="shared" si="37"/>
        <v>0</v>
      </c>
      <c r="V47" s="19">
        <f>U47/3</f>
        <v>0</v>
      </c>
      <c r="W47" s="136">
        <f t="shared" si="38"/>
        <v>0</v>
      </c>
      <c r="X47" s="136">
        <f>ROUND(W47*Rates!D$6, 0)</f>
        <v>0</v>
      </c>
      <c r="Y47" s="136">
        <f t="shared" si="29"/>
        <v>0</v>
      </c>
      <c r="Z47" s="18"/>
      <c r="AA47" s="12">
        <v>0</v>
      </c>
      <c r="AB47" s="207">
        <f>AA47/3</f>
        <v>0</v>
      </c>
      <c r="AC47" s="58">
        <f t="shared" si="30"/>
        <v>0</v>
      </c>
      <c r="AD47" s="19">
        <f>AC47/3</f>
        <v>0</v>
      </c>
      <c r="AE47" s="136">
        <f t="shared" si="39"/>
        <v>0</v>
      </c>
      <c r="AF47" s="136">
        <f>ROUND(AE47*Rates!E$6, 0)</f>
        <v>0</v>
      </c>
      <c r="AG47" s="136">
        <f t="shared" si="40"/>
        <v>0</v>
      </c>
      <c r="AH47" s="18"/>
      <c r="AI47" s="12">
        <v>0</v>
      </c>
      <c r="AJ47" s="207">
        <f>AI47/3</f>
        <v>0</v>
      </c>
      <c r="AK47" s="58">
        <f t="shared" si="41"/>
        <v>0</v>
      </c>
      <c r="AL47" s="19">
        <f>AK47/3</f>
        <v>0</v>
      </c>
      <c r="AM47" s="136">
        <f t="shared" si="42"/>
        <v>0</v>
      </c>
      <c r="AN47" s="136">
        <f>ROUND(AM47*Rates!F$6, 0)</f>
        <v>0</v>
      </c>
      <c r="AO47" s="136">
        <f t="shared" si="43"/>
        <v>0</v>
      </c>
      <c r="AP47" s="18"/>
      <c r="AQ47" s="148">
        <f t="shared" si="31"/>
        <v>0</v>
      </c>
    </row>
    <row r="48" spans="1:43" ht="15" hidden="1" customHeight="1" x14ac:dyDescent="0.6">
      <c r="A48" s="213" t="s">
        <v>72</v>
      </c>
      <c r="B48" s="213"/>
      <c r="C48" s="12">
        <v>0</v>
      </c>
      <c r="D48" s="207">
        <f>C48/3</f>
        <v>0</v>
      </c>
      <c r="E48" s="58">
        <v>0</v>
      </c>
      <c r="F48" s="4">
        <f>E48/3</f>
        <v>0</v>
      </c>
      <c r="G48" s="136">
        <f t="shared" si="32"/>
        <v>0</v>
      </c>
      <c r="H48" s="136">
        <f>ROUND(G48*Rates!B$6, 0)</f>
        <v>0</v>
      </c>
      <c r="I48" s="136">
        <f t="shared" si="33"/>
        <v>0</v>
      </c>
      <c r="J48" s="18"/>
      <c r="K48" s="12">
        <v>0</v>
      </c>
      <c r="L48" s="207">
        <f>K48/3</f>
        <v>0</v>
      </c>
      <c r="M48" s="58">
        <f t="shared" si="34"/>
        <v>0</v>
      </c>
      <c r="N48" s="19">
        <f>M48/3</f>
        <v>0</v>
      </c>
      <c r="O48" s="136">
        <f t="shared" si="35"/>
        <v>0</v>
      </c>
      <c r="P48" s="136">
        <f>ROUND(O48*Rates!C$6, 0)</f>
        <v>0</v>
      </c>
      <c r="Q48" s="136">
        <f t="shared" si="36"/>
        <v>0</v>
      </c>
      <c r="R48" s="18"/>
      <c r="S48" s="12">
        <v>0</v>
      </c>
      <c r="T48" s="207">
        <f>S48/3</f>
        <v>0</v>
      </c>
      <c r="U48" s="58">
        <f t="shared" si="37"/>
        <v>0</v>
      </c>
      <c r="V48" s="19">
        <f>U48/3</f>
        <v>0</v>
      </c>
      <c r="W48" s="136">
        <f t="shared" si="38"/>
        <v>0</v>
      </c>
      <c r="X48" s="136">
        <f>ROUND(W48*Rates!D$6, 0)</f>
        <v>0</v>
      </c>
      <c r="Y48" s="136">
        <f t="shared" si="29"/>
        <v>0</v>
      </c>
      <c r="Z48" s="18"/>
      <c r="AA48" s="12">
        <v>0</v>
      </c>
      <c r="AB48" s="207">
        <f>AA48/3</f>
        <v>0</v>
      </c>
      <c r="AC48" s="58">
        <f t="shared" si="30"/>
        <v>0</v>
      </c>
      <c r="AD48" s="19">
        <f>AC48/3</f>
        <v>0</v>
      </c>
      <c r="AE48" s="136">
        <f t="shared" si="39"/>
        <v>0</v>
      </c>
      <c r="AF48" s="136">
        <f>ROUND(AE48*Rates!E$6, 0)</f>
        <v>0</v>
      </c>
      <c r="AG48" s="136">
        <f t="shared" si="40"/>
        <v>0</v>
      </c>
      <c r="AH48" s="18"/>
      <c r="AI48" s="12">
        <v>0</v>
      </c>
      <c r="AJ48" s="207">
        <f>AI48/3</f>
        <v>0</v>
      </c>
      <c r="AK48" s="58">
        <f t="shared" si="41"/>
        <v>0</v>
      </c>
      <c r="AL48" s="19">
        <f>AK48/3</f>
        <v>0</v>
      </c>
      <c r="AM48" s="136">
        <f t="shared" si="42"/>
        <v>0</v>
      </c>
      <c r="AN48" s="136">
        <f>ROUND(AM48*Rates!F$6, 0)</f>
        <v>0</v>
      </c>
      <c r="AO48" s="136">
        <f t="shared" si="43"/>
        <v>0</v>
      </c>
      <c r="AP48" s="18"/>
      <c r="AQ48" s="148">
        <f t="shared" si="31"/>
        <v>0</v>
      </c>
    </row>
    <row r="49" spans="1:43" ht="15" hidden="1" customHeight="1" x14ac:dyDescent="0.6">
      <c r="A49" s="243" t="s">
        <v>72</v>
      </c>
      <c r="B49" s="243"/>
      <c r="C49" s="12">
        <v>0</v>
      </c>
      <c r="D49" s="207">
        <f>C49/3</f>
        <v>0</v>
      </c>
      <c r="E49" s="58">
        <v>0</v>
      </c>
      <c r="F49" s="4">
        <f>E49/3</f>
        <v>0</v>
      </c>
      <c r="G49" s="136">
        <f t="shared" si="32"/>
        <v>0</v>
      </c>
      <c r="H49" s="136">
        <f>ROUND(G49*Rates!B$6, 0)</f>
        <v>0</v>
      </c>
      <c r="I49" s="136">
        <f t="shared" si="33"/>
        <v>0</v>
      </c>
      <c r="J49" s="18"/>
      <c r="K49" s="12">
        <v>0</v>
      </c>
      <c r="L49" s="207">
        <f>K49/3</f>
        <v>0</v>
      </c>
      <c r="M49" s="58">
        <f t="shared" si="34"/>
        <v>0</v>
      </c>
      <c r="N49" s="19">
        <f>M49/3</f>
        <v>0</v>
      </c>
      <c r="O49" s="136">
        <f t="shared" si="35"/>
        <v>0</v>
      </c>
      <c r="P49" s="136">
        <f>ROUND(O49*Rates!C$6, 0)</f>
        <v>0</v>
      </c>
      <c r="Q49" s="136">
        <f t="shared" si="36"/>
        <v>0</v>
      </c>
      <c r="R49" s="18"/>
      <c r="S49" s="12">
        <v>0</v>
      </c>
      <c r="T49" s="207">
        <f>S49/3</f>
        <v>0</v>
      </c>
      <c r="U49" s="58">
        <f t="shared" si="37"/>
        <v>0</v>
      </c>
      <c r="V49" s="19">
        <f>U49/3</f>
        <v>0</v>
      </c>
      <c r="W49" s="136">
        <f t="shared" si="38"/>
        <v>0</v>
      </c>
      <c r="X49" s="136">
        <f>ROUND(W49*Rates!D$6, 0)</f>
        <v>0</v>
      </c>
      <c r="Y49" s="136">
        <f t="shared" si="29"/>
        <v>0</v>
      </c>
      <c r="Z49" s="18"/>
      <c r="AA49" s="12">
        <v>0</v>
      </c>
      <c r="AB49" s="207">
        <f>AA49/3</f>
        <v>0</v>
      </c>
      <c r="AC49" s="58">
        <f t="shared" si="30"/>
        <v>0</v>
      </c>
      <c r="AD49" s="19">
        <f>AC49/3</f>
        <v>0</v>
      </c>
      <c r="AE49" s="136">
        <f t="shared" si="39"/>
        <v>0</v>
      </c>
      <c r="AF49" s="136">
        <f>ROUND(AE49*Rates!E$6, 0)</f>
        <v>0</v>
      </c>
      <c r="AG49" s="136">
        <f t="shared" si="40"/>
        <v>0</v>
      </c>
      <c r="AH49" s="18"/>
      <c r="AI49" s="12">
        <v>0</v>
      </c>
      <c r="AJ49" s="207">
        <f>AI49/3</f>
        <v>0</v>
      </c>
      <c r="AK49" s="58">
        <f t="shared" si="41"/>
        <v>0</v>
      </c>
      <c r="AL49" s="19">
        <f>AK49/3</f>
        <v>0</v>
      </c>
      <c r="AM49" s="136">
        <f t="shared" si="42"/>
        <v>0</v>
      </c>
      <c r="AN49" s="136">
        <f>ROUND(AM49*Rates!F$6, 0)</f>
        <v>0</v>
      </c>
      <c r="AO49" s="136">
        <f t="shared" si="43"/>
        <v>0</v>
      </c>
      <c r="AP49" s="18"/>
      <c r="AQ49" s="148">
        <f t="shared" si="31"/>
        <v>0</v>
      </c>
    </row>
    <row r="50" spans="1:43" ht="15" hidden="1" customHeight="1" x14ac:dyDescent="0.6">
      <c r="A50" s="244" t="s">
        <v>0</v>
      </c>
      <c r="B50" s="242"/>
      <c r="C50" s="62"/>
      <c r="D50" s="206"/>
      <c r="E50" s="82"/>
      <c r="F50" s="63"/>
      <c r="G50" s="138">
        <f>ROUND(SUM(G41:G49), 0)</f>
        <v>0</v>
      </c>
      <c r="H50" s="138"/>
      <c r="I50" s="138"/>
      <c r="J50" s="64"/>
      <c r="K50" s="62"/>
      <c r="L50" s="206"/>
      <c r="M50" s="82"/>
      <c r="N50" s="67"/>
      <c r="O50" s="138">
        <f>ROUND(SUM(O41:O49), 0)</f>
        <v>0</v>
      </c>
      <c r="P50" s="138"/>
      <c r="Q50" s="138"/>
      <c r="R50" s="64"/>
      <c r="S50" s="62"/>
      <c r="T50" s="206"/>
      <c r="U50" s="82"/>
      <c r="V50" s="67"/>
      <c r="W50" s="138">
        <f>ROUND(SUM(W41:W49), 0)</f>
        <v>0</v>
      </c>
      <c r="X50" s="138"/>
      <c r="Y50" s="138"/>
      <c r="Z50" s="64"/>
      <c r="AA50" s="62"/>
      <c r="AB50" s="206"/>
      <c r="AC50" s="82"/>
      <c r="AD50" s="67"/>
      <c r="AE50" s="138">
        <f>ROUND(SUM(AE41:AE49), 0)</f>
        <v>0</v>
      </c>
      <c r="AF50" s="138"/>
      <c r="AG50" s="138"/>
      <c r="AH50" s="64"/>
      <c r="AI50" s="62"/>
      <c r="AJ50" s="206"/>
      <c r="AK50" s="82"/>
      <c r="AL50" s="67"/>
      <c r="AM50" s="138">
        <f>ROUND(SUM(AM41:AM49), 0)</f>
        <v>0</v>
      </c>
      <c r="AN50" s="138"/>
      <c r="AO50" s="138"/>
      <c r="AP50" s="64"/>
      <c r="AQ50" s="149">
        <f t="shared" si="31"/>
        <v>0</v>
      </c>
    </row>
    <row r="51" spans="1:43" ht="15" hidden="1" customHeight="1" x14ac:dyDescent="0.6">
      <c r="A51" s="216" t="s">
        <v>90</v>
      </c>
      <c r="B51" s="210"/>
      <c r="C51" s="43"/>
      <c r="D51" s="207"/>
      <c r="E51" s="58"/>
      <c r="G51" s="136">
        <f>ROUND(G50*Rates!B6, 0)</f>
        <v>0</v>
      </c>
      <c r="J51" s="18"/>
      <c r="L51" s="207"/>
      <c r="O51" s="136">
        <f>ROUND(O50*Rates!C6, 0)</f>
        <v>0</v>
      </c>
      <c r="R51" s="18"/>
      <c r="T51" s="207"/>
      <c r="W51" s="136">
        <f>ROUND(W50*Rates!D6, 0)</f>
        <v>0</v>
      </c>
      <c r="Z51" s="18"/>
      <c r="AB51" s="207"/>
      <c r="AE51" s="136">
        <f>ROUND(AE50*Rates!E6, 0)</f>
        <v>0</v>
      </c>
      <c r="AH51" s="18"/>
      <c r="AJ51" s="207"/>
      <c r="AL51" s="19"/>
      <c r="AM51" s="136">
        <f>ROUND(AM50*Rates!F6, 0)</f>
        <v>0</v>
      </c>
      <c r="AP51" s="18"/>
      <c r="AQ51" s="148">
        <f t="shared" si="31"/>
        <v>0</v>
      </c>
    </row>
    <row r="52" spans="1:43" ht="15" hidden="1" customHeight="1" x14ac:dyDescent="0.6">
      <c r="A52" s="209" t="s">
        <v>2</v>
      </c>
      <c r="B52" s="210"/>
      <c r="C52" s="43"/>
      <c r="D52" s="207"/>
      <c r="E52" s="58"/>
      <c r="G52" s="136">
        <f>ROUND(SUM(G50:G51), 0)</f>
        <v>0</v>
      </c>
      <c r="J52" s="18"/>
      <c r="L52" s="207"/>
      <c r="O52" s="136">
        <f>ROUND(SUM(O50:O51), 0)</f>
        <v>0</v>
      </c>
      <c r="R52" s="18"/>
      <c r="T52" s="207"/>
      <c r="W52" s="136">
        <f>ROUND(SUM(W50:W51), 0)</f>
        <v>0</v>
      </c>
      <c r="Z52" s="18"/>
      <c r="AB52" s="207"/>
      <c r="AE52" s="136">
        <f>ROUND(SUM(AE50:AE51), 0)</f>
        <v>0</v>
      </c>
      <c r="AH52" s="18"/>
      <c r="AJ52" s="207"/>
      <c r="AL52" s="19"/>
      <c r="AM52" s="136">
        <f>ROUND(SUM(AM50:AM51), 0)</f>
        <v>0</v>
      </c>
      <c r="AP52" s="18"/>
      <c r="AQ52" s="148">
        <f t="shared" si="31"/>
        <v>0</v>
      </c>
    </row>
    <row r="53" spans="1:43" ht="15" hidden="1" customHeight="1" x14ac:dyDescent="0.6">
      <c r="A53" s="23"/>
      <c r="C53" s="43"/>
      <c r="D53" s="207"/>
      <c r="E53" s="58"/>
      <c r="J53" s="18"/>
      <c r="L53" s="207"/>
      <c r="R53" s="18"/>
      <c r="T53" s="207"/>
      <c r="Z53" s="18"/>
      <c r="AB53" s="207"/>
      <c r="AH53" s="18"/>
      <c r="AJ53" s="207"/>
      <c r="AL53" s="19"/>
      <c r="AP53" s="18"/>
      <c r="AQ53" s="148"/>
    </row>
    <row r="54" spans="1:43" ht="15" customHeight="1" x14ac:dyDescent="0.7">
      <c r="A54" s="222" t="s">
        <v>35</v>
      </c>
      <c r="B54" s="223"/>
      <c r="C54" s="43"/>
      <c r="D54" s="207"/>
      <c r="E54" s="58"/>
      <c r="J54" s="18"/>
      <c r="L54" s="207"/>
      <c r="R54" s="18"/>
      <c r="T54" s="207"/>
      <c r="Z54" s="18"/>
      <c r="AB54" s="207"/>
      <c r="AH54" s="18"/>
      <c r="AJ54" s="207"/>
      <c r="AL54" s="19"/>
      <c r="AP54" s="18"/>
      <c r="AQ54" s="148"/>
    </row>
    <row r="55" spans="1:43" ht="15" customHeight="1" thickBot="1" x14ac:dyDescent="0.75">
      <c r="A55" s="209" t="s">
        <v>96</v>
      </c>
      <c r="B55" s="210"/>
      <c r="C55" s="12"/>
      <c r="D55" s="207">
        <f>C55/12</f>
        <v>0</v>
      </c>
      <c r="E55" s="58">
        <v>0</v>
      </c>
      <c r="F55" s="4">
        <f>E55/12</f>
        <v>0</v>
      </c>
      <c r="G55" s="136">
        <f>ROUND(F55*C55, 0)</f>
        <v>0</v>
      </c>
      <c r="H55" s="136">
        <f>ROUND(G55*Rates!B$7, 0)</f>
        <v>0</v>
      </c>
      <c r="I55" s="136">
        <f>G55+H55</f>
        <v>0</v>
      </c>
      <c r="J55" s="18"/>
      <c r="K55" s="12">
        <v>0</v>
      </c>
      <c r="L55" s="207">
        <f>K55/12</f>
        <v>0</v>
      </c>
      <c r="M55" s="58">
        <f>E55*1.02</f>
        <v>0</v>
      </c>
      <c r="N55" s="19">
        <f>M55/12</f>
        <v>0</v>
      </c>
      <c r="O55" s="136">
        <f>ROUND(N55*K55, 0)</f>
        <v>0</v>
      </c>
      <c r="P55" s="136">
        <f>ROUND(O55*Rates!C$7, 0)</f>
        <v>0</v>
      </c>
      <c r="Q55" s="136">
        <f>O55+P55</f>
        <v>0</v>
      </c>
      <c r="R55" s="18"/>
      <c r="S55" s="12">
        <v>0</v>
      </c>
      <c r="T55" s="207">
        <f>S55/12</f>
        <v>0</v>
      </c>
      <c r="U55" s="58">
        <f>M55*1.02</f>
        <v>0</v>
      </c>
      <c r="V55" s="19">
        <f>U55/12</f>
        <v>0</v>
      </c>
      <c r="W55" s="136">
        <f>ROUND(V55*S55, 0)</f>
        <v>0</v>
      </c>
      <c r="X55" s="136">
        <f>ROUND(W55*Rates!D$7, 0)</f>
        <v>0</v>
      </c>
      <c r="Y55" s="136">
        <f>W55+X55</f>
        <v>0</v>
      </c>
      <c r="Z55" s="18"/>
      <c r="AA55" s="12">
        <v>0</v>
      </c>
      <c r="AB55" s="207">
        <f>AA55/12</f>
        <v>0</v>
      </c>
      <c r="AC55" s="58">
        <f>U55*1.02</f>
        <v>0</v>
      </c>
      <c r="AD55" s="19">
        <f>AC55/12</f>
        <v>0</v>
      </c>
      <c r="AE55" s="136">
        <f>ROUND(AD55*AA55, 0)</f>
        <v>0</v>
      </c>
      <c r="AF55" s="136">
        <f>ROUND(AE55*Rates!E$7, 0)</f>
        <v>0</v>
      </c>
      <c r="AG55" s="136">
        <f>AE55+AF55</f>
        <v>0</v>
      </c>
      <c r="AH55" s="18"/>
      <c r="AI55" s="12">
        <v>0</v>
      </c>
      <c r="AJ55" s="207">
        <f>AI55/12</f>
        <v>0</v>
      </c>
      <c r="AK55" s="58">
        <f>AC55*1.02</f>
        <v>0</v>
      </c>
      <c r="AL55" s="19">
        <f>AK55/12</f>
        <v>0</v>
      </c>
      <c r="AM55" s="136">
        <f>ROUND(AL55*AI55, 0)</f>
        <v>0</v>
      </c>
      <c r="AN55" s="136">
        <f>ROUND(AM55*Rates!F$7, 0)</f>
        <v>0</v>
      </c>
      <c r="AO55" s="136">
        <f>AM55+AN55</f>
        <v>0</v>
      </c>
      <c r="AP55" s="18"/>
      <c r="AQ55" s="148">
        <f t="shared" ref="AQ55:AQ60" si="44">SUM(G55+O55+W55+AE55+AM55)</f>
        <v>0</v>
      </c>
    </row>
    <row r="56" spans="1:43" ht="15" hidden="1" customHeight="1" thickBot="1" x14ac:dyDescent="0.75">
      <c r="A56" s="209" t="s">
        <v>21</v>
      </c>
      <c r="B56" s="210"/>
      <c r="C56" s="12">
        <v>0</v>
      </c>
      <c r="D56" s="207">
        <f>C56/12</f>
        <v>0</v>
      </c>
      <c r="E56" s="58">
        <v>0</v>
      </c>
      <c r="F56" s="4">
        <f>E56/12</f>
        <v>0</v>
      </c>
      <c r="G56" s="136">
        <f>ROUND(F56*C56, 0)</f>
        <v>0</v>
      </c>
      <c r="H56" s="136">
        <f>ROUND(G56*Rates!B$7, 0)</f>
        <v>0</v>
      </c>
      <c r="I56" s="136">
        <f>G56+H56</f>
        <v>0</v>
      </c>
      <c r="J56" s="18"/>
      <c r="K56" s="12">
        <v>0</v>
      </c>
      <c r="L56" s="207">
        <f>K56/12</f>
        <v>0</v>
      </c>
      <c r="M56" s="58">
        <f>E56*1.02</f>
        <v>0</v>
      </c>
      <c r="N56" s="19">
        <f>M56/12</f>
        <v>0</v>
      </c>
      <c r="O56" s="136">
        <f>ROUND(N56*K56, 0)</f>
        <v>0</v>
      </c>
      <c r="P56" s="136">
        <f>ROUND(O56*Rates!C$7, 0)</f>
        <v>0</v>
      </c>
      <c r="Q56" s="136">
        <f>O56+P56</f>
        <v>0</v>
      </c>
      <c r="R56" s="18"/>
      <c r="S56" s="12">
        <v>0</v>
      </c>
      <c r="T56" s="207">
        <f>S56/12</f>
        <v>0</v>
      </c>
      <c r="U56" s="58">
        <f>M56*1.02</f>
        <v>0</v>
      </c>
      <c r="V56" s="19">
        <f>U56/12</f>
        <v>0</v>
      </c>
      <c r="W56" s="136">
        <f>ROUND(V56*S56, 0)</f>
        <v>0</v>
      </c>
      <c r="X56" s="136">
        <f>ROUND(W56*Rates!D$7, 0)</f>
        <v>0</v>
      </c>
      <c r="Y56" s="136">
        <f>W56+X56</f>
        <v>0</v>
      </c>
      <c r="Z56" s="18"/>
      <c r="AA56" s="12">
        <v>0</v>
      </c>
      <c r="AB56" s="207">
        <f>AA56/12</f>
        <v>0</v>
      </c>
      <c r="AC56" s="58">
        <f>U56*1.02</f>
        <v>0</v>
      </c>
      <c r="AD56" s="19">
        <f>AC56/12</f>
        <v>0</v>
      </c>
      <c r="AE56" s="136">
        <f>ROUND(AD56*AA56, 0)</f>
        <v>0</v>
      </c>
      <c r="AF56" s="136">
        <f>ROUND(AE56*Rates!E$7, 0)</f>
        <v>0</v>
      </c>
      <c r="AG56" s="136">
        <f>AE56+AF56</f>
        <v>0</v>
      </c>
      <c r="AH56" s="18"/>
      <c r="AI56" s="12">
        <v>0</v>
      </c>
      <c r="AJ56" s="207">
        <f>AI56/12</f>
        <v>0</v>
      </c>
      <c r="AK56" s="58">
        <f>AC56*1.02</f>
        <v>0</v>
      </c>
      <c r="AL56" s="19">
        <f>AK56/12</f>
        <v>0</v>
      </c>
      <c r="AM56" s="136">
        <f>ROUND(AL56*AI56, 0)</f>
        <v>0</v>
      </c>
      <c r="AN56" s="136">
        <f>ROUND(AM56*Rates!F$7, 0)</f>
        <v>0</v>
      </c>
      <c r="AO56" s="136">
        <f>AM56+AN56</f>
        <v>0</v>
      </c>
      <c r="AP56" s="18"/>
      <c r="AQ56" s="148">
        <f t="shared" si="44"/>
        <v>0</v>
      </c>
    </row>
    <row r="57" spans="1:43" ht="15" hidden="1" customHeight="1" thickTop="1" x14ac:dyDescent="0.6">
      <c r="A57" s="216" t="s">
        <v>21</v>
      </c>
      <c r="B57" s="217"/>
      <c r="C57" s="12">
        <v>0</v>
      </c>
      <c r="D57" s="207">
        <f>C57/12</f>
        <v>0</v>
      </c>
      <c r="E57" s="58">
        <v>0</v>
      </c>
      <c r="F57" s="4">
        <f>E57/12</f>
        <v>0</v>
      </c>
      <c r="G57" s="136">
        <f>ROUND(F57*C57, 0)</f>
        <v>0</v>
      </c>
      <c r="H57" s="136">
        <f>ROUND(G57*Rates!B$7, 0)</f>
        <v>0</v>
      </c>
      <c r="I57" s="136">
        <f>G57+H57</f>
        <v>0</v>
      </c>
      <c r="J57" s="18"/>
      <c r="K57" s="12">
        <v>0</v>
      </c>
      <c r="L57" s="207">
        <f>K57/12</f>
        <v>0</v>
      </c>
      <c r="M57" s="58">
        <f>E57*1.02</f>
        <v>0</v>
      </c>
      <c r="N57" s="19">
        <f>M57/12</f>
        <v>0</v>
      </c>
      <c r="O57" s="136">
        <f>ROUND(N57*K57, 0)</f>
        <v>0</v>
      </c>
      <c r="P57" s="136">
        <f>ROUND(O57*Rates!C$7, 0)</f>
        <v>0</v>
      </c>
      <c r="Q57" s="136">
        <f>O57+P57</f>
        <v>0</v>
      </c>
      <c r="R57" s="18"/>
      <c r="S57" s="12">
        <v>0</v>
      </c>
      <c r="T57" s="207">
        <f>S57/12</f>
        <v>0</v>
      </c>
      <c r="U57" s="58">
        <f>M57*1.02</f>
        <v>0</v>
      </c>
      <c r="V57" s="19">
        <f>U57/12</f>
        <v>0</v>
      </c>
      <c r="W57" s="136">
        <f>ROUND(V57*S57, 0)</f>
        <v>0</v>
      </c>
      <c r="X57" s="136">
        <f>ROUND(W57*Rates!D$7, 0)</f>
        <v>0</v>
      </c>
      <c r="Y57" s="136">
        <f>W57+X57</f>
        <v>0</v>
      </c>
      <c r="Z57" s="18"/>
      <c r="AA57" s="12">
        <v>0</v>
      </c>
      <c r="AB57" s="207">
        <f>AA57/12</f>
        <v>0</v>
      </c>
      <c r="AC57" s="58">
        <f>U57*1.02</f>
        <v>0</v>
      </c>
      <c r="AD57" s="19">
        <f>AC57/12</f>
        <v>0</v>
      </c>
      <c r="AE57" s="136">
        <f>ROUND(AD57*AA57, 0)</f>
        <v>0</v>
      </c>
      <c r="AF57" s="136">
        <f>ROUND(AE57*Rates!E$7, 0)</f>
        <v>0</v>
      </c>
      <c r="AG57" s="136">
        <f>AE57+AF57</f>
        <v>0</v>
      </c>
      <c r="AH57" s="18"/>
      <c r="AI57" s="12">
        <v>0</v>
      </c>
      <c r="AJ57" s="207">
        <f>AI57/12</f>
        <v>0</v>
      </c>
      <c r="AK57" s="58">
        <f>AC57*1.02</f>
        <v>0</v>
      </c>
      <c r="AL57" s="19">
        <f>AK57/12</f>
        <v>0</v>
      </c>
      <c r="AM57" s="136">
        <f>ROUND(AL57*AI57, 0)</f>
        <v>0</v>
      </c>
      <c r="AN57" s="136">
        <f>ROUND(AM57*Rates!F$7, 0)</f>
        <v>0</v>
      </c>
      <c r="AO57" s="136">
        <f>AM57+AN57</f>
        <v>0</v>
      </c>
      <c r="AP57" s="18"/>
      <c r="AQ57" s="148">
        <f t="shared" si="44"/>
        <v>0</v>
      </c>
    </row>
    <row r="58" spans="1:43" ht="15" customHeight="1" thickTop="1" x14ac:dyDescent="0.6">
      <c r="A58" s="211" t="s">
        <v>0</v>
      </c>
      <c r="B58" s="212"/>
      <c r="C58" s="62"/>
      <c r="D58" s="206"/>
      <c r="E58" s="82"/>
      <c r="F58" s="63"/>
      <c r="G58" s="138">
        <f>ROUND(SUM(G55:G57), 0)</f>
        <v>0</v>
      </c>
      <c r="H58" s="138"/>
      <c r="I58" s="138"/>
      <c r="J58" s="64"/>
      <c r="K58" s="62"/>
      <c r="L58" s="206"/>
      <c r="M58" s="82"/>
      <c r="N58" s="67"/>
      <c r="O58" s="138">
        <f>ROUND(SUM(O55:O57), 0)</f>
        <v>0</v>
      </c>
      <c r="P58" s="138"/>
      <c r="Q58" s="138"/>
      <c r="R58" s="64"/>
      <c r="S58" s="62"/>
      <c r="T58" s="206"/>
      <c r="U58" s="82"/>
      <c r="V58" s="67"/>
      <c r="W58" s="138">
        <f>ROUND(SUM(W55:W57), 0)</f>
        <v>0</v>
      </c>
      <c r="X58" s="138"/>
      <c r="Y58" s="138"/>
      <c r="Z58" s="64"/>
      <c r="AA58" s="62"/>
      <c r="AB58" s="206"/>
      <c r="AC58" s="82"/>
      <c r="AD58" s="67"/>
      <c r="AE58" s="138">
        <f>ROUND(SUM(AE55:AE57), 0)</f>
        <v>0</v>
      </c>
      <c r="AF58" s="138"/>
      <c r="AG58" s="138"/>
      <c r="AH58" s="64"/>
      <c r="AI58" s="62"/>
      <c r="AJ58" s="206"/>
      <c r="AK58" s="82"/>
      <c r="AL58" s="67"/>
      <c r="AM58" s="138">
        <f>ROUND(SUM(AM55:AM57), 0)</f>
        <v>0</v>
      </c>
      <c r="AN58" s="138"/>
      <c r="AO58" s="138"/>
      <c r="AP58" s="64"/>
      <c r="AQ58" s="149">
        <f t="shared" si="44"/>
        <v>0</v>
      </c>
    </row>
    <row r="59" spans="1:43" ht="15" customHeight="1" x14ac:dyDescent="0.6">
      <c r="A59" s="216" t="s">
        <v>91</v>
      </c>
      <c r="B59" s="210"/>
      <c r="C59" s="43"/>
      <c r="D59" s="207"/>
      <c r="E59" s="58"/>
      <c r="G59" s="136">
        <f>ROUND(G58*Rates!B7, 0)</f>
        <v>0</v>
      </c>
      <c r="J59" s="18"/>
      <c r="L59" s="207"/>
      <c r="O59" s="136">
        <f>ROUND(O58*Rates!C7, 0)</f>
        <v>0</v>
      </c>
      <c r="R59" s="18"/>
      <c r="T59" s="207"/>
      <c r="W59" s="136">
        <f>ROUND(W58*Rates!D7, 0)</f>
        <v>0</v>
      </c>
      <c r="Z59" s="18"/>
      <c r="AB59" s="207"/>
      <c r="AE59" s="136">
        <f>ROUND(AE58*Rates!E7, 0)</f>
        <v>0</v>
      </c>
      <c r="AH59" s="18"/>
      <c r="AJ59" s="207"/>
      <c r="AM59" s="136">
        <f>ROUND(AM58*Rates!F7, 0)</f>
        <v>0</v>
      </c>
      <c r="AP59" s="18"/>
      <c r="AQ59" s="148">
        <f t="shared" si="44"/>
        <v>0</v>
      </c>
    </row>
    <row r="60" spans="1:43" ht="15" customHeight="1" x14ac:dyDescent="0.6">
      <c r="A60" s="209" t="s">
        <v>2</v>
      </c>
      <c r="B60" s="210"/>
      <c r="C60" s="43"/>
      <c r="D60" s="207"/>
      <c r="E60" s="58"/>
      <c r="G60" s="136">
        <f>ROUND(SUM(G58:G59), 0)</f>
        <v>0</v>
      </c>
      <c r="J60" s="18"/>
      <c r="L60" s="207"/>
      <c r="O60" s="136">
        <f>ROUND(SUM(O58:O59), 0)</f>
        <v>0</v>
      </c>
      <c r="R60" s="18"/>
      <c r="T60" s="207"/>
      <c r="W60" s="136">
        <f>ROUND(SUM(W58:W59), 0)</f>
        <v>0</v>
      </c>
      <c r="Z60" s="18"/>
      <c r="AB60" s="207"/>
      <c r="AE60" s="136">
        <f>ROUND(SUM(AE58:AE59), 0)</f>
        <v>0</v>
      </c>
      <c r="AH60" s="18"/>
      <c r="AJ60" s="207"/>
      <c r="AM60" s="136">
        <f>ROUND(SUM(AM58:AM59), 0)</f>
        <v>0</v>
      </c>
      <c r="AP60" s="18"/>
      <c r="AQ60" s="148">
        <f t="shared" si="44"/>
        <v>0</v>
      </c>
    </row>
    <row r="61" spans="1:43" ht="15" customHeight="1" x14ac:dyDescent="0.6">
      <c r="A61" s="164"/>
      <c r="B61" s="165"/>
      <c r="C61" s="43"/>
      <c r="D61" s="207"/>
      <c r="E61" s="58"/>
      <c r="J61" s="18"/>
      <c r="L61" s="207"/>
      <c r="R61" s="18"/>
      <c r="T61" s="207"/>
      <c r="Z61" s="18"/>
      <c r="AB61" s="207"/>
      <c r="AH61" s="18"/>
      <c r="AJ61" s="207"/>
      <c r="AP61" s="18"/>
      <c r="AQ61" s="148"/>
    </row>
    <row r="62" spans="1:43" ht="15" hidden="1" customHeight="1" x14ac:dyDescent="0.7">
      <c r="A62" s="222" t="s">
        <v>57</v>
      </c>
      <c r="B62" s="223"/>
      <c r="C62" s="43"/>
      <c r="D62" s="207"/>
      <c r="E62" s="58"/>
      <c r="J62" s="18"/>
      <c r="L62" s="207"/>
      <c r="R62" s="18"/>
      <c r="T62" s="207"/>
      <c r="Z62" s="18"/>
      <c r="AB62" s="207"/>
      <c r="AH62" s="18"/>
      <c r="AJ62" s="207"/>
      <c r="AP62" s="18"/>
      <c r="AQ62" s="148"/>
    </row>
    <row r="63" spans="1:43" ht="15" hidden="1" customHeight="1" x14ac:dyDescent="0.6">
      <c r="A63" s="216" t="s">
        <v>21</v>
      </c>
      <c r="B63" s="217"/>
      <c r="C63" s="12">
        <v>0</v>
      </c>
      <c r="D63" s="207">
        <f>C63/12</f>
        <v>0</v>
      </c>
      <c r="E63" s="58">
        <v>0</v>
      </c>
      <c r="F63" s="4">
        <f>E63/12</f>
        <v>0</v>
      </c>
      <c r="G63" s="136">
        <f>ROUND(F63*C63, 0)</f>
        <v>0</v>
      </c>
      <c r="H63" s="136">
        <f>ROUND(G63*Rates!B$8, 0)</f>
        <v>0</v>
      </c>
      <c r="I63" s="136">
        <f>G63+H63</f>
        <v>0</v>
      </c>
      <c r="J63" s="18"/>
      <c r="K63" s="12">
        <v>0</v>
      </c>
      <c r="L63" s="207">
        <f>K63/12</f>
        <v>0</v>
      </c>
      <c r="M63" s="58">
        <f>E63*1.02</f>
        <v>0</v>
      </c>
      <c r="N63" s="4">
        <f>M63/12</f>
        <v>0</v>
      </c>
      <c r="O63" s="136">
        <f>ROUND(K63*N63, 0)</f>
        <v>0</v>
      </c>
      <c r="P63" s="136">
        <f>ROUND(O63*Rates!C$8, 0)</f>
        <v>0</v>
      </c>
      <c r="Q63" s="136">
        <f>O63+P63</f>
        <v>0</v>
      </c>
      <c r="R63" s="18"/>
      <c r="S63" s="12">
        <v>0</v>
      </c>
      <c r="T63" s="207">
        <f>S63/12</f>
        <v>0</v>
      </c>
      <c r="U63" s="58">
        <f>M63*1.02</f>
        <v>0</v>
      </c>
      <c r="V63" s="4">
        <f>U63/12</f>
        <v>0</v>
      </c>
      <c r="W63" s="136">
        <f>ROUND(S63*V63, 0)</f>
        <v>0</v>
      </c>
      <c r="X63" s="136">
        <f>ROUND(W63*Rates!D$8, 0)</f>
        <v>0</v>
      </c>
      <c r="Y63" s="136">
        <f>W63+X63</f>
        <v>0</v>
      </c>
      <c r="Z63" s="18"/>
      <c r="AA63" s="12">
        <v>0</v>
      </c>
      <c r="AB63" s="207">
        <f>AA63/12</f>
        <v>0</v>
      </c>
      <c r="AC63" s="58">
        <f>U63*1.02</f>
        <v>0</v>
      </c>
      <c r="AD63" s="4">
        <f>AC63/12</f>
        <v>0</v>
      </c>
      <c r="AE63" s="136">
        <f>ROUND(AA63*AD63, 0)</f>
        <v>0</v>
      </c>
      <c r="AF63" s="136">
        <f>ROUND(AE63*Rates!E$8, 0)</f>
        <v>0</v>
      </c>
      <c r="AG63" s="136">
        <f>AE63+AF63</f>
        <v>0</v>
      </c>
      <c r="AH63" s="18"/>
      <c r="AI63" s="12">
        <v>0</v>
      </c>
      <c r="AJ63" s="207">
        <f>AI63/12</f>
        <v>0</v>
      </c>
      <c r="AK63" s="58">
        <f>AC63*1.02</f>
        <v>0</v>
      </c>
      <c r="AL63" s="4">
        <f>AK63/12</f>
        <v>0</v>
      </c>
      <c r="AM63" s="136">
        <f>ROUND(AI63*AL63, 0)</f>
        <v>0</v>
      </c>
      <c r="AN63" s="136">
        <f>ROUND(AM63*Rates!F$8, 0)</f>
        <v>0</v>
      </c>
      <c r="AO63" s="136">
        <f>AM63+AN63</f>
        <v>0</v>
      </c>
      <c r="AP63" s="18"/>
      <c r="AQ63" s="148">
        <f t="shared" ref="AQ63:AQ68" si="45">SUM(G63+O63+W63+AE63+AM63)</f>
        <v>0</v>
      </c>
    </row>
    <row r="64" spans="1:43" ht="15" hidden="1" customHeight="1" x14ac:dyDescent="0.6">
      <c r="A64" s="216" t="s">
        <v>21</v>
      </c>
      <c r="B64" s="217"/>
      <c r="C64" s="12">
        <v>0</v>
      </c>
      <c r="D64" s="207">
        <f>C64/12</f>
        <v>0</v>
      </c>
      <c r="E64" s="58">
        <v>0</v>
      </c>
      <c r="F64" s="4">
        <f>E64/12</f>
        <v>0</v>
      </c>
      <c r="G64" s="136">
        <f>ROUND(F64*C64, 0)</f>
        <v>0</v>
      </c>
      <c r="H64" s="136">
        <f>ROUND(G64*Rates!B$8, 0)</f>
        <v>0</v>
      </c>
      <c r="I64" s="136">
        <f>G64+H64</f>
        <v>0</v>
      </c>
      <c r="J64" s="18"/>
      <c r="K64" s="12">
        <v>0</v>
      </c>
      <c r="L64" s="207">
        <f>K64/12</f>
        <v>0</v>
      </c>
      <c r="M64" s="58">
        <f>E64*1.02</f>
        <v>0</v>
      </c>
      <c r="N64" s="4">
        <f>M64/12</f>
        <v>0</v>
      </c>
      <c r="O64" s="136">
        <f>ROUND(K64*N64, 0)</f>
        <v>0</v>
      </c>
      <c r="P64" s="136">
        <f>ROUND(O64*Rates!C$8, 0)</f>
        <v>0</v>
      </c>
      <c r="Q64" s="136">
        <f>O64+P64</f>
        <v>0</v>
      </c>
      <c r="R64" s="18"/>
      <c r="S64" s="12">
        <v>0</v>
      </c>
      <c r="T64" s="207">
        <f>S64/12</f>
        <v>0</v>
      </c>
      <c r="U64" s="58">
        <f>M64*1.02</f>
        <v>0</v>
      </c>
      <c r="V64" s="4">
        <f>U64/12</f>
        <v>0</v>
      </c>
      <c r="W64" s="136">
        <f>ROUND(S64*V64, 0)</f>
        <v>0</v>
      </c>
      <c r="X64" s="136">
        <f>ROUND(W64*Rates!D$8, 0)</f>
        <v>0</v>
      </c>
      <c r="Y64" s="136">
        <f>W64+X64</f>
        <v>0</v>
      </c>
      <c r="Z64" s="18"/>
      <c r="AA64" s="12">
        <v>0</v>
      </c>
      <c r="AB64" s="207">
        <f>AA64/12</f>
        <v>0</v>
      </c>
      <c r="AC64" s="58">
        <f>U64*1.02</f>
        <v>0</v>
      </c>
      <c r="AD64" s="4">
        <f>AC64/12</f>
        <v>0</v>
      </c>
      <c r="AE64" s="136">
        <f>ROUND(AA64*AD64, 0)</f>
        <v>0</v>
      </c>
      <c r="AF64" s="136">
        <f>ROUND(AE64*Rates!E$8, 0)</f>
        <v>0</v>
      </c>
      <c r="AG64" s="136">
        <f>AE64+AF64</f>
        <v>0</v>
      </c>
      <c r="AH64" s="18"/>
      <c r="AI64" s="12">
        <v>0</v>
      </c>
      <c r="AJ64" s="207">
        <f>AI64/12</f>
        <v>0</v>
      </c>
      <c r="AK64" s="58">
        <f>AC64*1.02</f>
        <v>0</v>
      </c>
      <c r="AL64" s="4">
        <f>AK64/12</f>
        <v>0</v>
      </c>
      <c r="AM64" s="136">
        <f>ROUND(AI64*AL64, 0)</f>
        <v>0</v>
      </c>
      <c r="AN64" s="136">
        <f>ROUND(AM64*Rates!F$8, 0)</f>
        <v>0</v>
      </c>
      <c r="AO64" s="136">
        <f>AM64+AN64</f>
        <v>0</v>
      </c>
      <c r="AP64" s="18"/>
      <c r="AQ64" s="148">
        <f t="shared" si="45"/>
        <v>0</v>
      </c>
    </row>
    <row r="65" spans="1:43" ht="15" hidden="1" customHeight="1" x14ac:dyDescent="0.6">
      <c r="A65" s="232" t="s">
        <v>21</v>
      </c>
      <c r="B65" s="233"/>
      <c r="C65" s="172">
        <v>0</v>
      </c>
      <c r="D65" s="208">
        <f>C65/12</f>
        <v>0</v>
      </c>
      <c r="E65" s="168">
        <v>0</v>
      </c>
      <c r="F65" s="169">
        <f>E65/12</f>
        <v>0</v>
      </c>
      <c r="G65" s="170">
        <f>ROUND(F65*C65, 0)</f>
        <v>0</v>
      </c>
      <c r="H65" s="170">
        <f>ROUND(G65*Rates!B$8, 0)</f>
        <v>0</v>
      </c>
      <c r="I65" s="170">
        <f>G65+H65</f>
        <v>0</v>
      </c>
      <c r="J65" s="171"/>
      <c r="K65" s="172">
        <v>0</v>
      </c>
      <c r="L65" s="208">
        <f>K65/12</f>
        <v>0</v>
      </c>
      <c r="M65" s="168">
        <f>E65*1.02</f>
        <v>0</v>
      </c>
      <c r="N65" s="169">
        <f>M65/12</f>
        <v>0</v>
      </c>
      <c r="O65" s="170">
        <f>ROUND(K65*N65, 0)</f>
        <v>0</v>
      </c>
      <c r="P65" s="170">
        <f>ROUND(O65*Rates!C$8, 0)</f>
        <v>0</v>
      </c>
      <c r="Q65" s="170">
        <f>O65+P65</f>
        <v>0</v>
      </c>
      <c r="R65" s="171"/>
      <c r="S65" s="172">
        <v>0</v>
      </c>
      <c r="T65" s="208">
        <f>S65/12</f>
        <v>0</v>
      </c>
      <c r="U65" s="168">
        <f>M65*1.02</f>
        <v>0</v>
      </c>
      <c r="V65" s="169">
        <f>U65/12</f>
        <v>0</v>
      </c>
      <c r="W65" s="170">
        <f>ROUND(S65*V65, 0)</f>
        <v>0</v>
      </c>
      <c r="X65" s="170">
        <f>ROUND(W65*Rates!D$8, 0)</f>
        <v>0</v>
      </c>
      <c r="Y65" s="170">
        <f>W65+X65</f>
        <v>0</v>
      </c>
      <c r="Z65" s="171"/>
      <c r="AA65" s="172">
        <v>0</v>
      </c>
      <c r="AB65" s="208">
        <f>AA65/12</f>
        <v>0</v>
      </c>
      <c r="AC65" s="168">
        <f>U65*1.02</f>
        <v>0</v>
      </c>
      <c r="AD65" s="169">
        <f>AC65/12</f>
        <v>0</v>
      </c>
      <c r="AE65" s="170">
        <f>ROUND(AA65*AD65, 0)</f>
        <v>0</v>
      </c>
      <c r="AF65" s="170">
        <f>ROUND(AE65*Rates!E$8, 0)</f>
        <v>0</v>
      </c>
      <c r="AG65" s="170">
        <f>AE65+AF65</f>
        <v>0</v>
      </c>
      <c r="AH65" s="171"/>
      <c r="AI65" s="172">
        <v>0</v>
      </c>
      <c r="AJ65" s="208">
        <f>AI65/12</f>
        <v>0</v>
      </c>
      <c r="AK65" s="168">
        <f>AC65*1.02</f>
        <v>0</v>
      </c>
      <c r="AL65" s="169">
        <f>AK65/12</f>
        <v>0</v>
      </c>
      <c r="AM65" s="170">
        <f>ROUND(AI65*AL65, 0)</f>
        <v>0</v>
      </c>
      <c r="AN65" s="170">
        <f>ROUND(AM65*Rates!F$8, 0)</f>
        <v>0</v>
      </c>
      <c r="AO65" s="170">
        <f>AM65+AN65</f>
        <v>0</v>
      </c>
      <c r="AP65" s="171"/>
      <c r="AQ65" s="173">
        <f t="shared" si="45"/>
        <v>0</v>
      </c>
    </row>
    <row r="66" spans="1:43" ht="15" hidden="1" customHeight="1" x14ac:dyDescent="0.6">
      <c r="A66" s="230" t="s">
        <v>0</v>
      </c>
      <c r="B66" s="231"/>
      <c r="C66" s="43"/>
      <c r="D66" s="207"/>
      <c r="E66" s="58"/>
      <c r="G66" s="136">
        <f>ROUND(SUM(G63:G65), 0)</f>
        <v>0</v>
      </c>
      <c r="J66" s="18"/>
      <c r="L66" s="207"/>
      <c r="O66" s="136">
        <f>ROUND(SUM(O63:O65), 0)</f>
        <v>0</v>
      </c>
      <c r="R66" s="18"/>
      <c r="T66" s="207"/>
      <c r="W66" s="136">
        <f>ROUND(SUM(W63:W65), 0)</f>
        <v>0</v>
      </c>
      <c r="Z66" s="18"/>
      <c r="AB66" s="207"/>
      <c r="AE66" s="136">
        <f>ROUND(SUM(AE63:AE65), 0)</f>
        <v>0</v>
      </c>
      <c r="AH66" s="18"/>
      <c r="AJ66" s="207"/>
      <c r="AM66" s="136">
        <f>ROUND(SUM(AM63:AM65), 0)</f>
        <v>0</v>
      </c>
      <c r="AP66" s="18"/>
      <c r="AQ66" s="148">
        <f t="shared" si="45"/>
        <v>0</v>
      </c>
    </row>
    <row r="67" spans="1:43" ht="15" hidden="1" customHeight="1" x14ac:dyDescent="0.6">
      <c r="A67" s="216" t="s">
        <v>92</v>
      </c>
      <c r="B67" s="217"/>
      <c r="C67" s="43"/>
      <c r="D67" s="207"/>
      <c r="E67" s="58"/>
      <c r="G67" s="136">
        <f>ROUND(G66*Rates!B8, 0)</f>
        <v>0</v>
      </c>
      <c r="J67" s="18"/>
      <c r="L67" s="207"/>
      <c r="O67" s="136">
        <f>ROUND(O66*Rates!C8, 0)</f>
        <v>0</v>
      </c>
      <c r="R67" s="18"/>
      <c r="T67" s="207"/>
      <c r="W67" s="136">
        <f>ROUND(W66*Rates!D8, 0)</f>
        <v>0</v>
      </c>
      <c r="Z67" s="18"/>
      <c r="AB67" s="207"/>
      <c r="AE67" s="136">
        <f>ROUND(AE66*Rates!E8, 0)</f>
        <v>0</v>
      </c>
      <c r="AH67" s="18"/>
      <c r="AJ67" s="207"/>
      <c r="AM67" s="136">
        <f>ROUND(AM66*Rates!F8, 0)</f>
        <v>0</v>
      </c>
      <c r="AP67" s="18"/>
      <c r="AQ67" s="148">
        <f t="shared" si="45"/>
        <v>0</v>
      </c>
    </row>
    <row r="68" spans="1:43" ht="15" hidden="1" customHeight="1" x14ac:dyDescent="0.6">
      <c r="A68" s="216" t="s">
        <v>2</v>
      </c>
      <c r="B68" s="217"/>
      <c r="C68" s="43"/>
      <c r="D68" s="207"/>
      <c r="E68" s="58"/>
      <c r="G68" s="136">
        <f>ROUND(SUM(G66:G67), 0)</f>
        <v>0</v>
      </c>
      <c r="J68" s="18"/>
      <c r="L68" s="207"/>
      <c r="O68" s="136">
        <f>ROUND(SUM(O66:O67), 0)</f>
        <v>0</v>
      </c>
      <c r="R68" s="18"/>
      <c r="T68" s="207"/>
      <c r="W68" s="136">
        <f>ROUND(SUM(W66:W67), 0)</f>
        <v>0</v>
      </c>
      <c r="Z68" s="18"/>
      <c r="AB68" s="207"/>
      <c r="AE68" s="136">
        <f>ROUND(SUM(AE66:AE67), 0)</f>
        <v>0</v>
      </c>
      <c r="AH68" s="18"/>
      <c r="AJ68" s="207"/>
      <c r="AM68" s="136">
        <f>ROUND(SUM(AM66:AM67), 0)</f>
        <v>0</v>
      </c>
      <c r="AP68" s="18"/>
      <c r="AQ68" s="148">
        <f t="shared" si="45"/>
        <v>0</v>
      </c>
    </row>
    <row r="69" spans="1:43" ht="15" hidden="1" customHeight="1" x14ac:dyDescent="0.6">
      <c r="A69" s="164"/>
      <c r="B69" s="165"/>
      <c r="J69" s="18"/>
      <c r="R69" s="18"/>
      <c r="Z69" s="18"/>
      <c r="AH69" s="18"/>
      <c r="AP69" s="18"/>
      <c r="AQ69" s="148"/>
    </row>
    <row r="70" spans="1:43" ht="15" customHeight="1" x14ac:dyDescent="0.6">
      <c r="A70" s="218" t="s">
        <v>4</v>
      </c>
      <c r="B70" s="219"/>
      <c r="G70" s="136">
        <f>ROUND(G18+G28+G36+G50+G58+G66, 0)</f>
        <v>33156</v>
      </c>
      <c r="J70" s="18"/>
      <c r="O70" s="136">
        <f>ROUND(O18+O28+O36+O50+O58+O66, 0)</f>
        <v>0</v>
      </c>
      <c r="R70" s="18"/>
      <c r="W70" s="136">
        <f>ROUND(W18+W28+W36+W50+W58+W66, 0)</f>
        <v>0</v>
      </c>
      <c r="Z70" s="18"/>
      <c r="AE70" s="136">
        <f>ROUND(AE18+AE28+AE36+AE50+AE58+AE66, 0)</f>
        <v>0</v>
      </c>
      <c r="AH70" s="18"/>
      <c r="AM70" s="136">
        <f>ROUND(AM18+AM28+AM36+AM50+AM58+AM66, 0)</f>
        <v>0</v>
      </c>
      <c r="AP70" s="18"/>
      <c r="AQ70" s="148">
        <f>SUM(G70+O70+W70+AE70+AM70)</f>
        <v>33156</v>
      </c>
    </row>
    <row r="71" spans="1:43" ht="15" customHeight="1" x14ac:dyDescent="0.6">
      <c r="A71" s="218" t="s">
        <v>5</v>
      </c>
      <c r="B71" s="219"/>
      <c r="G71" s="136">
        <f>ROUND(G19+G29+G37+G51+G59+G67, 0)</f>
        <v>4642</v>
      </c>
      <c r="J71" s="18"/>
      <c r="O71" s="136">
        <f>ROUND(O19+O29+O37+O51+O59+O67, 0)</f>
        <v>0</v>
      </c>
      <c r="R71" s="18"/>
      <c r="W71" s="136">
        <f>ROUND(W19+W29+W37+W51+W59+W67, 0)</f>
        <v>0</v>
      </c>
      <c r="Z71" s="18"/>
      <c r="AE71" s="136">
        <f>ROUND(AE19+AE29+AE37+AE51+AE59+AE67, 0)</f>
        <v>0</v>
      </c>
      <c r="AH71" s="18"/>
      <c r="AM71" s="136">
        <f>ROUND(AM19+AM29+AM37+AM51+AM59+AM67, 0)</f>
        <v>0</v>
      </c>
      <c r="AP71" s="18"/>
      <c r="AQ71" s="148">
        <f>SUM(G71+O71+W71+AE71+AM71)</f>
        <v>4642</v>
      </c>
    </row>
    <row r="72" spans="1:43" s="1" customFormat="1" ht="15" customHeight="1" thickBot="1" x14ac:dyDescent="0.75">
      <c r="A72" s="220" t="s">
        <v>6</v>
      </c>
      <c r="B72" s="221"/>
      <c r="C72" s="45"/>
      <c r="D72" s="45"/>
      <c r="E72" s="83"/>
      <c r="F72" s="46"/>
      <c r="G72" s="139">
        <f>ROUND(SUM(G70:G71), 0)</f>
        <v>37798</v>
      </c>
      <c r="H72" s="139"/>
      <c r="I72" s="139"/>
      <c r="J72" s="47"/>
      <c r="K72" s="48"/>
      <c r="L72" s="45"/>
      <c r="M72" s="89"/>
      <c r="N72" s="46"/>
      <c r="O72" s="139">
        <f>ROUND(SUM(O70:O71), 0)</f>
        <v>0</v>
      </c>
      <c r="P72" s="139"/>
      <c r="Q72" s="139"/>
      <c r="R72" s="47"/>
      <c r="S72" s="48"/>
      <c r="T72" s="45"/>
      <c r="U72" s="89"/>
      <c r="V72" s="46"/>
      <c r="W72" s="139">
        <f>ROUND(SUM(W70:W71), 0)</f>
        <v>0</v>
      </c>
      <c r="X72" s="139"/>
      <c r="Y72" s="139"/>
      <c r="Z72" s="47"/>
      <c r="AA72" s="48"/>
      <c r="AB72" s="45"/>
      <c r="AC72" s="89"/>
      <c r="AD72" s="46"/>
      <c r="AE72" s="139">
        <f>ROUND(SUM(AE70:AE71), 0)</f>
        <v>0</v>
      </c>
      <c r="AF72" s="139"/>
      <c r="AG72" s="139"/>
      <c r="AH72" s="47"/>
      <c r="AI72" s="48"/>
      <c r="AJ72" s="45"/>
      <c r="AK72" s="89"/>
      <c r="AL72" s="46"/>
      <c r="AM72" s="139">
        <f>ROUND(SUM(AM70:AM71), 0)</f>
        <v>0</v>
      </c>
      <c r="AN72" s="139"/>
      <c r="AO72" s="139"/>
      <c r="AP72" s="49"/>
      <c r="AQ72" s="150">
        <f>SUM(G72+O72+W72+AE72+AM72)</f>
        <v>37798</v>
      </c>
    </row>
    <row r="73" spans="1:43" ht="15" customHeight="1" x14ac:dyDescent="0.6">
      <c r="A73" s="22"/>
      <c r="B73" s="51"/>
      <c r="C73" s="52"/>
      <c r="D73" s="52"/>
      <c r="E73" s="84"/>
      <c r="F73" s="53"/>
      <c r="G73" s="140"/>
      <c r="H73" s="140"/>
      <c r="I73" s="140"/>
      <c r="J73" s="34"/>
      <c r="K73" s="33"/>
      <c r="L73" s="52"/>
      <c r="M73" s="90"/>
      <c r="N73" s="53"/>
      <c r="O73" s="140"/>
      <c r="P73" s="140"/>
      <c r="Q73" s="140"/>
      <c r="R73" s="34"/>
      <c r="S73" s="33"/>
      <c r="T73" s="52"/>
      <c r="U73" s="90"/>
      <c r="V73" s="53"/>
      <c r="W73" s="140"/>
      <c r="X73" s="140"/>
      <c r="Y73" s="140"/>
      <c r="Z73" s="34"/>
      <c r="AA73" s="33"/>
      <c r="AB73" s="52"/>
      <c r="AC73" s="90"/>
      <c r="AD73" s="53"/>
      <c r="AE73" s="140"/>
      <c r="AF73" s="140"/>
      <c r="AG73" s="140"/>
      <c r="AH73" s="34"/>
      <c r="AI73" s="33"/>
      <c r="AJ73" s="52"/>
      <c r="AK73" s="90"/>
      <c r="AL73" s="53"/>
      <c r="AM73" s="140"/>
      <c r="AN73" s="140"/>
      <c r="AO73" s="140"/>
      <c r="AP73" s="54"/>
      <c r="AQ73" s="146"/>
    </row>
    <row r="74" spans="1:43" s="1" customFormat="1" ht="15" customHeight="1" x14ac:dyDescent="0.7">
      <c r="A74" s="222" t="s">
        <v>33</v>
      </c>
      <c r="B74" s="223"/>
      <c r="C74" s="55"/>
      <c r="D74" s="55"/>
      <c r="E74" s="85"/>
      <c r="F74" s="5"/>
      <c r="G74" s="141"/>
      <c r="H74" s="141"/>
      <c r="I74" s="141"/>
      <c r="J74" s="56"/>
      <c r="K74" s="57"/>
      <c r="L74" s="55"/>
      <c r="M74" s="91"/>
      <c r="N74" s="5"/>
      <c r="O74" s="141"/>
      <c r="P74" s="141"/>
      <c r="Q74" s="141"/>
      <c r="R74" s="56"/>
      <c r="S74" s="57"/>
      <c r="T74" s="55"/>
      <c r="U74" s="91"/>
      <c r="V74" s="5"/>
      <c r="W74" s="141"/>
      <c r="X74" s="141"/>
      <c r="Y74" s="141"/>
      <c r="Z74" s="56"/>
      <c r="AA74" s="57"/>
      <c r="AB74" s="55"/>
      <c r="AC74" s="91"/>
      <c r="AD74" s="5"/>
      <c r="AE74" s="141"/>
      <c r="AF74" s="141"/>
      <c r="AG74" s="141"/>
      <c r="AH74" s="56"/>
      <c r="AI74" s="57"/>
      <c r="AJ74" s="55"/>
      <c r="AK74" s="91"/>
      <c r="AL74" s="5"/>
      <c r="AM74" s="141"/>
      <c r="AN74" s="141"/>
      <c r="AO74" s="141"/>
      <c r="AP74" s="18"/>
      <c r="AQ74" s="148"/>
    </row>
    <row r="75" spans="1:43" ht="15" customHeight="1" x14ac:dyDescent="0.6">
      <c r="A75" s="216" t="s">
        <v>79</v>
      </c>
      <c r="B75" s="217"/>
      <c r="C75" s="126"/>
      <c r="D75" s="126"/>
      <c r="E75" s="127"/>
      <c r="F75" s="19"/>
      <c r="G75" s="136">
        <f>1600+9080</f>
        <v>10680</v>
      </c>
      <c r="J75" s="18"/>
      <c r="R75" s="18"/>
      <c r="Z75" s="18"/>
      <c r="AE75" s="136">
        <v>0</v>
      </c>
      <c r="AH75" s="18"/>
      <c r="AM75" s="136">
        <v>0</v>
      </c>
      <c r="AP75" s="56"/>
      <c r="AQ75" s="148">
        <f>ROUND(SUM(G75+O75+W75+AE75+AM75), 0)</f>
        <v>10680</v>
      </c>
    </row>
    <row r="76" spans="1:43" ht="15" customHeight="1" x14ac:dyDescent="0.6">
      <c r="A76" s="216" t="s">
        <v>80</v>
      </c>
      <c r="B76" s="217"/>
      <c r="C76" s="126"/>
      <c r="D76" s="126"/>
      <c r="E76" s="127"/>
      <c r="F76" s="19"/>
      <c r="G76" s="136">
        <v>0</v>
      </c>
      <c r="J76" s="18"/>
      <c r="O76" s="136">
        <v>0</v>
      </c>
      <c r="R76" s="18"/>
      <c r="W76" s="136">
        <v>0</v>
      </c>
      <c r="Z76" s="18"/>
      <c r="AE76" s="136">
        <v>0</v>
      </c>
      <c r="AH76" s="18"/>
      <c r="AM76" s="136">
        <v>0</v>
      </c>
      <c r="AP76" s="18"/>
      <c r="AQ76" s="148">
        <f>ROUND(SUM(G76+O76+W76+AE76+AM76), 0)</f>
        <v>0</v>
      </c>
    </row>
    <row r="77" spans="1:43" ht="15" customHeight="1" x14ac:dyDescent="0.6">
      <c r="A77" s="216" t="s">
        <v>81</v>
      </c>
      <c r="B77" s="217"/>
      <c r="C77" s="126"/>
      <c r="D77" s="126"/>
      <c r="E77" s="127"/>
      <c r="F77" s="19"/>
      <c r="G77" s="136">
        <v>0</v>
      </c>
      <c r="J77" s="18"/>
      <c r="O77" s="136">
        <v>0</v>
      </c>
      <c r="R77" s="18"/>
      <c r="W77" s="136">
        <v>0</v>
      </c>
      <c r="Z77" s="18"/>
      <c r="AE77" s="136">
        <v>0</v>
      </c>
      <c r="AH77" s="18"/>
      <c r="AM77" s="136">
        <v>0</v>
      </c>
      <c r="AP77" s="18"/>
      <c r="AQ77" s="148">
        <f>ROUND(SUM(G77+O77+W77+AE77+AM77), 0)</f>
        <v>0</v>
      </c>
    </row>
    <row r="78" spans="1:43" ht="15" customHeight="1" x14ac:dyDescent="0.6">
      <c r="A78" s="216" t="s">
        <v>82</v>
      </c>
      <c r="B78" s="217"/>
      <c r="C78" s="126"/>
      <c r="D78" s="126"/>
      <c r="E78" s="127"/>
      <c r="F78" s="19"/>
      <c r="G78" s="136">
        <v>0</v>
      </c>
      <c r="J78" s="18"/>
      <c r="N78" s="58"/>
      <c r="O78" s="144">
        <v>0</v>
      </c>
      <c r="P78" s="144"/>
      <c r="R78" s="59"/>
      <c r="V78" s="58"/>
      <c r="W78" s="144">
        <v>0</v>
      </c>
      <c r="X78" s="144"/>
      <c r="Z78" s="59"/>
      <c r="AD78" s="58"/>
      <c r="AE78" s="144">
        <v>0</v>
      </c>
      <c r="AF78" s="144"/>
      <c r="AH78" s="59"/>
      <c r="AL78" s="58"/>
      <c r="AM78" s="144">
        <v>0</v>
      </c>
      <c r="AN78" s="144"/>
      <c r="AP78" s="18"/>
      <c r="AQ78" s="148">
        <f>ROUND(SUM(G78+O78+W78+AE78+AM78), 0)</f>
        <v>0</v>
      </c>
    </row>
    <row r="79" spans="1:43" ht="15" customHeight="1" x14ac:dyDescent="0.6">
      <c r="A79" s="216" t="s">
        <v>83</v>
      </c>
      <c r="B79" s="217"/>
      <c r="C79" s="126"/>
      <c r="D79" s="126"/>
      <c r="E79" s="127"/>
      <c r="F79" s="19"/>
      <c r="G79" s="136">
        <v>0</v>
      </c>
      <c r="J79" s="18"/>
      <c r="N79" s="58"/>
      <c r="O79" s="144">
        <v>0</v>
      </c>
      <c r="P79" s="144"/>
      <c r="R79" s="59"/>
      <c r="V79" s="58"/>
      <c r="W79" s="144">
        <v>0</v>
      </c>
      <c r="X79" s="144"/>
      <c r="Z79" s="59"/>
      <c r="AD79" s="58"/>
      <c r="AE79" s="144">
        <v>0</v>
      </c>
      <c r="AF79" s="144"/>
      <c r="AH79" s="59"/>
      <c r="AL79" s="58"/>
      <c r="AM79" s="144">
        <v>0</v>
      </c>
      <c r="AN79" s="144"/>
      <c r="AP79" s="18"/>
      <c r="AQ79" s="148">
        <f>ROUND(SUM(G79+O79+W79+AE79+AM79), 0)</f>
        <v>0</v>
      </c>
    </row>
    <row r="80" spans="1:43" ht="10.15" customHeight="1" x14ac:dyDescent="0.6">
      <c r="A80" s="128"/>
      <c r="B80" s="129"/>
      <c r="C80" s="130"/>
      <c r="D80" s="130"/>
      <c r="E80" s="131"/>
      <c r="F80" s="132"/>
      <c r="G80" s="142"/>
      <c r="H80" s="142"/>
      <c r="I80" s="142"/>
      <c r="J80" s="18"/>
      <c r="K80" s="71"/>
      <c r="L80" s="70"/>
      <c r="M80" s="59"/>
      <c r="N80" s="59"/>
      <c r="O80" s="145"/>
      <c r="P80" s="145"/>
      <c r="Q80" s="142"/>
      <c r="R80" s="59"/>
      <c r="S80" s="71"/>
      <c r="T80" s="70"/>
      <c r="U80" s="59"/>
      <c r="V80" s="59"/>
      <c r="W80" s="145"/>
      <c r="X80" s="145"/>
      <c r="Y80" s="142"/>
      <c r="Z80" s="59"/>
      <c r="AA80" s="71"/>
      <c r="AB80" s="70"/>
      <c r="AC80" s="59"/>
      <c r="AD80" s="59"/>
      <c r="AE80" s="145"/>
      <c r="AF80" s="145"/>
      <c r="AG80" s="142"/>
      <c r="AH80" s="59"/>
      <c r="AI80" s="71"/>
      <c r="AJ80" s="70"/>
      <c r="AK80" s="59"/>
      <c r="AL80" s="59"/>
      <c r="AM80" s="145"/>
      <c r="AN80" s="145"/>
      <c r="AO80" s="142"/>
      <c r="AP80" s="59"/>
      <c r="AQ80" s="151"/>
    </row>
    <row r="81" spans="1:43" ht="15" hidden="1" customHeight="1" x14ac:dyDescent="0.6">
      <c r="A81" s="214" t="s">
        <v>44</v>
      </c>
      <c r="B81" s="215"/>
      <c r="C81" s="126"/>
      <c r="D81" s="126"/>
      <c r="E81" s="127"/>
      <c r="F81" s="19"/>
      <c r="G81" s="136">
        <v>0</v>
      </c>
      <c r="J81" s="18"/>
      <c r="O81" s="136">
        <v>0</v>
      </c>
      <c r="R81" s="18"/>
      <c r="W81" s="136">
        <v>0</v>
      </c>
      <c r="Z81" s="18"/>
      <c r="AE81" s="136">
        <v>0</v>
      </c>
      <c r="AH81" s="18"/>
      <c r="AM81" s="136">
        <v>0</v>
      </c>
      <c r="AP81" s="59"/>
      <c r="AQ81" s="148">
        <f>ROUND(SUM(G81+O81+W81+AE81+AM81), 0)</f>
        <v>0</v>
      </c>
    </row>
    <row r="82" spans="1:43" ht="15" hidden="1" customHeight="1" x14ac:dyDescent="0.6">
      <c r="A82" s="216" t="s">
        <v>8</v>
      </c>
      <c r="B82" s="217"/>
      <c r="C82" s="126"/>
      <c r="D82" s="126"/>
      <c r="E82" s="127"/>
      <c r="F82" s="19"/>
      <c r="G82" s="136">
        <v>0</v>
      </c>
      <c r="J82" s="18"/>
      <c r="O82" s="136">
        <v>0</v>
      </c>
      <c r="R82" s="18"/>
      <c r="W82" s="136">
        <v>0</v>
      </c>
      <c r="Z82" s="18"/>
      <c r="AE82" s="136">
        <v>0</v>
      </c>
      <c r="AH82" s="18"/>
      <c r="AM82" s="136">
        <v>0</v>
      </c>
      <c r="AP82" s="59"/>
      <c r="AQ82" s="148">
        <f>ROUND(SUM(G82+O82+W82+AE82+AM82), 0)</f>
        <v>0</v>
      </c>
    </row>
    <row r="83" spans="1:43" ht="15" hidden="1" customHeight="1" x14ac:dyDescent="0.6">
      <c r="A83" s="216" t="s">
        <v>54</v>
      </c>
      <c r="B83" s="217"/>
      <c r="C83" s="217"/>
      <c r="D83" s="217"/>
      <c r="E83" s="217"/>
      <c r="F83" s="217"/>
      <c r="G83" s="136">
        <v>0</v>
      </c>
      <c r="J83" s="18"/>
      <c r="L83" s="207"/>
      <c r="N83" s="58"/>
      <c r="O83" s="144">
        <v>0</v>
      </c>
      <c r="P83" s="144"/>
      <c r="R83" s="59"/>
      <c r="T83" s="207"/>
      <c r="V83" s="58"/>
      <c r="W83" s="144">
        <v>0</v>
      </c>
      <c r="X83" s="144"/>
      <c r="Z83" s="59"/>
      <c r="AB83" s="207"/>
      <c r="AD83" s="58"/>
      <c r="AE83" s="144">
        <v>0</v>
      </c>
      <c r="AF83" s="144"/>
      <c r="AH83" s="59"/>
      <c r="AJ83" s="207"/>
      <c r="AL83" s="58"/>
      <c r="AM83" s="144">
        <v>0</v>
      </c>
      <c r="AN83" s="144"/>
      <c r="AP83" s="18"/>
      <c r="AQ83" s="148">
        <f>ROUND(SUM(G83+O83+W83+AE83+AM83), 0)</f>
        <v>0</v>
      </c>
    </row>
    <row r="84" spans="1:43" ht="10.15" hidden="1" customHeight="1" x14ac:dyDescent="0.6">
      <c r="A84" s="68"/>
      <c r="B84" s="69"/>
      <c r="C84" s="70"/>
      <c r="D84" s="70"/>
      <c r="E84" s="86"/>
      <c r="F84" s="18"/>
      <c r="G84" s="142"/>
      <c r="H84" s="142"/>
      <c r="I84" s="142"/>
      <c r="J84" s="18"/>
      <c r="K84" s="71"/>
      <c r="L84" s="70"/>
      <c r="M84" s="59"/>
      <c r="N84" s="18"/>
      <c r="O84" s="142"/>
      <c r="P84" s="142"/>
      <c r="Q84" s="142"/>
      <c r="R84" s="18"/>
      <c r="S84" s="71"/>
      <c r="T84" s="70"/>
      <c r="U84" s="59"/>
      <c r="V84" s="18"/>
      <c r="W84" s="142"/>
      <c r="X84" s="142"/>
      <c r="Y84" s="142"/>
      <c r="Z84" s="18"/>
      <c r="AA84" s="71"/>
      <c r="AB84" s="70"/>
      <c r="AC84" s="59"/>
      <c r="AD84" s="18"/>
      <c r="AE84" s="142"/>
      <c r="AF84" s="142"/>
      <c r="AG84" s="142"/>
      <c r="AH84" s="18"/>
      <c r="AI84" s="71"/>
      <c r="AJ84" s="70"/>
      <c r="AK84" s="59"/>
      <c r="AL84" s="18"/>
      <c r="AM84" s="142"/>
      <c r="AN84" s="142"/>
      <c r="AO84" s="142"/>
      <c r="AP84" s="59"/>
      <c r="AQ84" s="151"/>
    </row>
    <row r="85" spans="1:43" s="1" customFormat="1" ht="15" customHeight="1" x14ac:dyDescent="0.6">
      <c r="A85" s="228" t="s">
        <v>9</v>
      </c>
      <c r="B85" s="229"/>
      <c r="C85" s="55"/>
      <c r="D85" s="55"/>
      <c r="E85" s="85"/>
      <c r="F85" s="5"/>
      <c r="G85" s="141">
        <f>ROUND(SUM(G75:G84), 0)</f>
        <v>10680</v>
      </c>
      <c r="H85" s="141"/>
      <c r="I85" s="141"/>
      <c r="J85" s="56"/>
      <c r="K85" s="57"/>
      <c r="L85" s="55"/>
      <c r="M85" s="91"/>
      <c r="N85" s="5"/>
      <c r="O85" s="141">
        <f>ROUND(SUM(O75:O84), 0)</f>
        <v>0</v>
      </c>
      <c r="P85" s="141"/>
      <c r="Q85" s="141"/>
      <c r="R85" s="56"/>
      <c r="S85" s="57"/>
      <c r="T85" s="55"/>
      <c r="U85" s="91"/>
      <c r="V85" s="5"/>
      <c r="W85" s="141">
        <f>ROUND(SUM(W75:W84), 0)</f>
        <v>0</v>
      </c>
      <c r="X85" s="141"/>
      <c r="Y85" s="141"/>
      <c r="Z85" s="56"/>
      <c r="AA85" s="57"/>
      <c r="AB85" s="55"/>
      <c r="AC85" s="91"/>
      <c r="AD85" s="5"/>
      <c r="AE85" s="141">
        <f>ROUND(SUM(AE75:AE84), 0)</f>
        <v>0</v>
      </c>
      <c r="AF85" s="141"/>
      <c r="AG85" s="141"/>
      <c r="AH85" s="56"/>
      <c r="AI85" s="57"/>
      <c r="AJ85" s="55"/>
      <c r="AK85" s="91"/>
      <c r="AL85" s="5"/>
      <c r="AM85" s="141">
        <f>ROUND(SUM(AM75:AM84), 0)</f>
        <v>0</v>
      </c>
      <c r="AN85" s="141"/>
      <c r="AO85" s="141"/>
      <c r="AP85" s="18"/>
      <c r="AQ85" s="148">
        <f>SUM(G85+O85+W85+AE85+AM85)</f>
        <v>10680</v>
      </c>
    </row>
    <row r="86" spans="1:43" ht="15" customHeight="1" x14ac:dyDescent="0.6">
      <c r="A86" s="36"/>
      <c r="J86" s="18"/>
      <c r="R86" s="18"/>
      <c r="Z86" s="18"/>
      <c r="AH86" s="18"/>
      <c r="AP86" s="56"/>
      <c r="AQ86" s="148"/>
    </row>
    <row r="87" spans="1:43" ht="15" customHeight="1" x14ac:dyDescent="0.6">
      <c r="A87" s="228" t="s">
        <v>7</v>
      </c>
      <c r="B87" s="229"/>
      <c r="G87" s="136">
        <f>ROUND(SUM(G72+G85),0)</f>
        <v>48478</v>
      </c>
      <c r="J87" s="18"/>
      <c r="O87" s="136">
        <f>ROUND(SUM(O72+O85), 0)</f>
        <v>0</v>
      </c>
      <c r="R87" s="18"/>
      <c r="W87" s="136">
        <f>ROUND(SUM(W72+W85), 0)</f>
        <v>0</v>
      </c>
      <c r="Z87" s="18"/>
      <c r="AE87" s="136">
        <f>ROUND(SUM(AE72+AE85), 0)</f>
        <v>0</v>
      </c>
      <c r="AH87" s="18"/>
      <c r="AM87" s="136">
        <f>ROUND(SUM(AM72+AM85), 0)</f>
        <v>0</v>
      </c>
      <c r="AP87" s="18"/>
      <c r="AQ87" s="148">
        <f>SUM(G87+O87+W87+AE87+AM87)</f>
        <v>48478</v>
      </c>
    </row>
    <row r="88" spans="1:43" ht="15" customHeight="1" x14ac:dyDescent="0.6">
      <c r="A88" s="226" t="s">
        <v>24</v>
      </c>
      <c r="B88" s="227"/>
      <c r="C88" s="180"/>
      <c r="G88" s="136">
        <f>ROUND(G87-G82-G83, 0)</f>
        <v>48478</v>
      </c>
      <c r="J88" s="18"/>
      <c r="O88" s="136">
        <f>ROUND(O87-O82-O83, 0)</f>
        <v>0</v>
      </c>
      <c r="R88" s="18"/>
      <c r="W88" s="136">
        <f>ROUND(W87-W82-W83, 0)</f>
        <v>0</v>
      </c>
      <c r="Z88" s="18"/>
      <c r="AE88" s="136">
        <f>ROUND(AE87-AE82-AE83, 0)</f>
        <v>0</v>
      </c>
      <c r="AH88" s="18"/>
      <c r="AM88" s="136">
        <f>ROUND(AM87-AM82-AM83, 0)</f>
        <v>0</v>
      </c>
      <c r="AP88" s="18"/>
      <c r="AQ88" s="148">
        <f>SUM(G88+O88+W88+AE88+AM88)</f>
        <v>48478</v>
      </c>
    </row>
    <row r="89" spans="1:43" ht="15" customHeight="1" x14ac:dyDescent="0.6">
      <c r="A89" s="226" t="s">
        <v>93</v>
      </c>
      <c r="B89" s="227"/>
      <c r="C89" s="227"/>
      <c r="D89" s="55"/>
      <c r="G89" s="136">
        <f>ROUND(G88*Rates!B13, 0)</f>
        <v>29329</v>
      </c>
      <c r="J89" s="18"/>
      <c r="L89" s="55"/>
      <c r="O89" s="136">
        <f>ROUND(O88*Rates!C13, 0)</f>
        <v>0</v>
      </c>
      <c r="R89" s="18"/>
      <c r="T89" s="55"/>
      <c r="W89" s="136">
        <f>ROUND(W88*Rates!D13, 0)</f>
        <v>0</v>
      </c>
      <c r="Z89" s="18"/>
      <c r="AB89" s="55"/>
      <c r="AE89" s="136">
        <f>ROUND(AE88*Rates!E13, 0)</f>
        <v>0</v>
      </c>
      <c r="AH89" s="18"/>
      <c r="AJ89" s="55"/>
      <c r="AM89" s="136">
        <f>ROUND(AM88*Rates!F13, 0)</f>
        <v>0</v>
      </c>
      <c r="AP89" s="18"/>
      <c r="AQ89" s="148">
        <f>SUM(G89+O89+W89+AE89+AM89)</f>
        <v>29329</v>
      </c>
    </row>
    <row r="90" spans="1:43" s="1" customFormat="1" ht="15" customHeight="1" thickBot="1" x14ac:dyDescent="0.75">
      <c r="A90" s="224" t="s">
        <v>1</v>
      </c>
      <c r="B90" s="225"/>
      <c r="C90" s="45"/>
      <c r="D90" s="45"/>
      <c r="E90" s="83"/>
      <c r="F90" s="46"/>
      <c r="G90" s="139">
        <f>ROUND(G87+G89, 0)</f>
        <v>77807</v>
      </c>
      <c r="H90" s="139"/>
      <c r="I90" s="139"/>
      <c r="J90" s="47"/>
      <c r="K90" s="48"/>
      <c r="L90" s="45"/>
      <c r="M90" s="89"/>
      <c r="N90" s="46"/>
      <c r="O90" s="139">
        <f>ROUND(O87+O89, 0)</f>
        <v>0</v>
      </c>
      <c r="P90" s="139"/>
      <c r="Q90" s="139"/>
      <c r="R90" s="47"/>
      <c r="S90" s="48"/>
      <c r="T90" s="45"/>
      <c r="U90" s="89"/>
      <c r="V90" s="46"/>
      <c r="W90" s="139">
        <f>ROUND(W87+W89, 0)</f>
        <v>0</v>
      </c>
      <c r="X90" s="139"/>
      <c r="Y90" s="139"/>
      <c r="Z90" s="47"/>
      <c r="AA90" s="48"/>
      <c r="AB90" s="45"/>
      <c r="AC90" s="89"/>
      <c r="AD90" s="46"/>
      <c r="AE90" s="139">
        <f>ROUND(AE87+AE89, 0)</f>
        <v>0</v>
      </c>
      <c r="AF90" s="139"/>
      <c r="AG90" s="139"/>
      <c r="AH90" s="47"/>
      <c r="AI90" s="48"/>
      <c r="AJ90" s="45"/>
      <c r="AK90" s="89"/>
      <c r="AL90" s="46"/>
      <c r="AM90" s="139">
        <f>ROUND(AM87+AM89, 0)</f>
        <v>0</v>
      </c>
      <c r="AN90" s="139"/>
      <c r="AO90" s="139"/>
      <c r="AP90" s="49"/>
      <c r="AQ90" s="150">
        <f>SUM(G90+O90+W90+AE90+AM90)</f>
        <v>77807</v>
      </c>
    </row>
    <row r="91" spans="1:43" x14ac:dyDescent="0.6">
      <c r="AP91" s="5"/>
    </row>
    <row r="92" spans="1:43" x14ac:dyDescent="0.6">
      <c r="A92" s="1"/>
    </row>
    <row r="93" spans="1:43" hidden="1" x14ac:dyDescent="0.6">
      <c r="A93" s="181" t="s">
        <v>58</v>
      </c>
      <c r="B93" s="182"/>
      <c r="C93" s="180"/>
      <c r="D93" s="180"/>
      <c r="E93" s="183"/>
      <c r="F93" s="184"/>
      <c r="G93" s="185"/>
    </row>
  </sheetData>
  <mergeCells count="78">
    <mergeCell ref="A23:B23"/>
    <mergeCell ref="A62:B62"/>
    <mergeCell ref="A49:B49"/>
    <mergeCell ref="A48:B48"/>
    <mergeCell ref="A47:B47"/>
    <mergeCell ref="A46:B46"/>
    <mergeCell ref="A32:B32"/>
    <mergeCell ref="A37:B37"/>
    <mergeCell ref="A57:B57"/>
    <mergeCell ref="A50:B50"/>
    <mergeCell ref="A33:B33"/>
    <mergeCell ref="A54:B54"/>
    <mergeCell ref="A55:B55"/>
    <mergeCell ref="A40:B40"/>
    <mergeCell ref="A35:B35"/>
    <mergeCell ref="A34:B34"/>
    <mergeCell ref="A22:B22"/>
    <mergeCell ref="A28:B28"/>
    <mergeCell ref="A30:B30"/>
    <mergeCell ref="A29:B29"/>
    <mergeCell ref="A13:B13"/>
    <mergeCell ref="A18:B18"/>
    <mergeCell ref="A20:B20"/>
    <mergeCell ref="A17:B17"/>
    <mergeCell ref="A19:B19"/>
    <mergeCell ref="A16:B16"/>
    <mergeCell ref="A14:B14"/>
    <mergeCell ref="A15:B15"/>
    <mergeCell ref="A27:B27"/>
    <mergeCell ref="A26:B26"/>
    <mergeCell ref="A25:B25"/>
    <mergeCell ref="A24:B24"/>
    <mergeCell ref="AI5:AM5"/>
    <mergeCell ref="B1:F1"/>
    <mergeCell ref="B3:F3"/>
    <mergeCell ref="A6:B6"/>
    <mergeCell ref="A7:B7"/>
    <mergeCell ref="K5:O5"/>
    <mergeCell ref="AA5:AE5"/>
    <mergeCell ref="B2:I2"/>
    <mergeCell ref="S5:W5"/>
    <mergeCell ref="C5:G5"/>
    <mergeCell ref="A90:B90"/>
    <mergeCell ref="A38:B38"/>
    <mergeCell ref="A88:B88"/>
    <mergeCell ref="A85:B85"/>
    <mergeCell ref="A89:C89"/>
    <mergeCell ref="A76:B76"/>
    <mergeCell ref="A77:B77"/>
    <mergeCell ref="A52:B52"/>
    <mergeCell ref="A51:B51"/>
    <mergeCell ref="A68:B68"/>
    <mergeCell ref="A67:B67"/>
    <mergeCell ref="A66:B66"/>
    <mergeCell ref="A65:B65"/>
    <mergeCell ref="A64:B64"/>
    <mergeCell ref="A63:B63"/>
    <mergeCell ref="A87:B87"/>
    <mergeCell ref="A60:B60"/>
    <mergeCell ref="A81:B81"/>
    <mergeCell ref="A58:B58"/>
    <mergeCell ref="A83:F83"/>
    <mergeCell ref="A75:B75"/>
    <mergeCell ref="A78:B78"/>
    <mergeCell ref="A71:B71"/>
    <mergeCell ref="A72:B72"/>
    <mergeCell ref="A82:B82"/>
    <mergeCell ref="A70:B70"/>
    <mergeCell ref="A74:B74"/>
    <mergeCell ref="A59:B59"/>
    <mergeCell ref="A79:B79"/>
    <mergeCell ref="A56:B56"/>
    <mergeCell ref="A36:B36"/>
    <mergeCell ref="A45:B45"/>
    <mergeCell ref="A44:B44"/>
    <mergeCell ref="A43:B43"/>
    <mergeCell ref="A42:B42"/>
    <mergeCell ref="A41:B41"/>
  </mergeCells>
  <phoneticPr fontId="0" type="noConversion"/>
  <printOptions horizontalCentered="1"/>
  <pageMargins left="0" right="0" top="1" bottom="1" header="0.5" footer="0.5"/>
  <pageSetup scale="38" orientation="portrait" r:id="rId1"/>
  <headerFooter alignWithMargins="0">
    <oddHeader>&amp;L&amp;F&amp;C&amp;A</oddHeader>
  </headerFooter>
  <ignoredErrors>
    <ignoredError sqref="M33:M35 M41:M43 M55:M57 U33:U35 AC33:AC35 U41:U43 AC41:AC43 U55:U57 AC55:AC57 AK33:AK35 AK41:AK43 AK55:AK57 AK8 AC8 U8 M27 U27 AC27 AK27 E28 M64:U65 AC64:AK65 M44:AK49 M12 U12 AC12 AK12 AK17 AK23 AC23 U23 AC17 U17 M17 M9:AK11 M18:AK22 N17:T17 M24:AK26 N23:R23 V17:AB17 AD17:AJ17 V23:AB23 AD23:AJ23 M14:AK16 N12:T12 AD12:AJ12 V12:AB12 T23" formula="1"/>
  </ignoredError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pageSetUpPr fitToPage="1"/>
  </sheetPr>
  <dimension ref="A1:BF94"/>
  <sheetViews>
    <sheetView topLeftCell="A58" zoomScale="90" zoomScaleNormal="90" workbookViewId="0">
      <selection activeCell="J85" sqref="J85"/>
    </sheetView>
  </sheetViews>
  <sheetFormatPr defaultRowHeight="13" x14ac:dyDescent="0.6"/>
  <cols>
    <col min="1" max="2" width="18.26953125" customWidth="1"/>
    <col min="3" max="4" width="10.7265625" style="11" customWidth="1"/>
    <col min="5" max="5" width="10.7265625" style="78" customWidth="1"/>
    <col min="6" max="6" width="10.7265625" style="4" customWidth="1"/>
    <col min="7" max="7" width="10.7265625" style="93" customWidth="1"/>
    <col min="8" max="9" width="10.7265625" style="93" hidden="1" customWidth="1"/>
    <col min="10" max="10" width="10.7265625" style="136" customWidth="1"/>
    <col min="11" max="12" width="10.7265625" style="4" hidden="1" customWidth="1"/>
    <col min="13" max="13" width="1.40625" style="4" customWidth="1"/>
    <col min="14" max="14" width="10.7265625" style="12" customWidth="1"/>
    <col min="15" max="15" width="10.7265625" style="11" customWidth="1"/>
    <col min="16" max="16" width="10.7265625" style="58" customWidth="1"/>
    <col min="17" max="17" width="10.7265625" style="4" customWidth="1"/>
    <col min="18" max="18" width="10.7265625" style="93" customWidth="1"/>
    <col min="19" max="20" width="10.7265625" style="93" hidden="1" customWidth="1"/>
    <col min="21" max="21" width="10.7265625" style="136" customWidth="1"/>
    <col min="22" max="23" width="10.7265625" style="4" hidden="1" customWidth="1"/>
    <col min="24" max="24" width="1.40625" style="4" customWidth="1"/>
    <col min="25" max="25" width="10.7265625" style="12" customWidth="1"/>
    <col min="26" max="26" width="10.7265625" style="11" customWidth="1"/>
    <col min="27" max="27" width="10.7265625" style="58" customWidth="1"/>
    <col min="28" max="28" width="10.7265625" style="4" customWidth="1"/>
    <col min="29" max="29" width="10.7265625" style="93" customWidth="1"/>
    <col min="30" max="31" width="10.7265625" style="93" hidden="1" customWidth="1"/>
    <col min="32" max="32" width="10.7265625" style="136" customWidth="1"/>
    <col min="33" max="34" width="10.7265625" style="4" hidden="1" customWidth="1"/>
    <col min="35" max="35" width="1.40625" style="4" customWidth="1"/>
    <col min="36" max="36" width="10.7265625" style="12" customWidth="1"/>
    <col min="37" max="37" width="10.7265625" style="11" customWidth="1"/>
    <col min="38" max="38" width="10.7265625" style="58" customWidth="1"/>
    <col min="39" max="39" width="10.7265625" style="4" customWidth="1"/>
    <col min="40" max="40" width="10.7265625" style="93" customWidth="1"/>
    <col min="41" max="42" width="10.7265625" style="93" hidden="1" customWidth="1"/>
    <col min="43" max="43" width="10.7265625" style="136" customWidth="1"/>
    <col min="44" max="45" width="10.7265625" style="4" hidden="1" customWidth="1"/>
    <col min="46" max="46" width="1.40625" style="4" customWidth="1"/>
    <col min="47" max="47" width="10.7265625" style="12" customWidth="1"/>
    <col min="48" max="48" width="10.7265625" style="11" customWidth="1"/>
    <col min="49" max="49" width="10.7265625" style="58" customWidth="1"/>
    <col min="50" max="50" width="10.7265625" style="4" customWidth="1"/>
    <col min="51" max="51" width="10.7265625" style="93" customWidth="1"/>
    <col min="52" max="53" width="10.7265625" style="93" hidden="1" customWidth="1"/>
    <col min="54" max="54" width="10.7265625" style="136" customWidth="1"/>
    <col min="55" max="56" width="10.7265625" style="4" hidden="1" customWidth="1"/>
    <col min="57" max="57" width="1.40625" style="4" customWidth="1"/>
    <col min="58" max="58" width="10.7265625" style="141" customWidth="1"/>
  </cols>
  <sheetData>
    <row r="1" spans="1:58" s="2" customFormat="1" ht="15.5" x14ac:dyDescent="0.7">
      <c r="A1" s="2" t="s">
        <v>18</v>
      </c>
      <c r="B1" s="223"/>
      <c r="C1" s="223"/>
      <c r="D1" s="223"/>
      <c r="E1" s="223"/>
      <c r="F1" s="223"/>
      <c r="G1" s="92"/>
      <c r="H1" s="92"/>
      <c r="I1" s="92"/>
      <c r="J1" s="135"/>
      <c r="K1" s="3"/>
      <c r="L1" s="3"/>
      <c r="M1" s="3"/>
      <c r="N1" s="13"/>
      <c r="O1" s="13"/>
      <c r="P1" s="87"/>
      <c r="Q1" s="3"/>
      <c r="R1" s="92"/>
      <c r="S1" s="92"/>
      <c r="T1" s="92"/>
      <c r="U1" s="135"/>
      <c r="V1" s="3"/>
      <c r="W1" s="3"/>
      <c r="X1" s="3"/>
      <c r="Y1" s="13"/>
      <c r="Z1" s="13"/>
      <c r="AA1" s="87"/>
      <c r="AB1" s="3"/>
      <c r="AC1" s="92"/>
      <c r="AD1" s="92"/>
      <c r="AE1" s="92"/>
      <c r="AF1" s="135"/>
      <c r="AG1" s="3"/>
      <c r="AH1" s="3"/>
      <c r="AI1" s="3"/>
      <c r="AJ1" s="13"/>
      <c r="AK1" s="13"/>
      <c r="AL1" s="87"/>
      <c r="AM1" s="3"/>
      <c r="AN1" s="92"/>
      <c r="AO1" s="92"/>
      <c r="AP1" s="92"/>
      <c r="AQ1" s="135"/>
      <c r="AR1" s="3"/>
      <c r="AS1" s="3"/>
      <c r="AT1" s="3"/>
      <c r="AU1" s="13"/>
      <c r="AV1" s="13"/>
      <c r="AW1" s="87"/>
      <c r="AX1" s="3"/>
      <c r="AY1" s="92"/>
      <c r="AZ1" s="92"/>
      <c r="BA1" s="92"/>
      <c r="BB1" s="135"/>
      <c r="BC1" s="3"/>
      <c r="BD1" s="3"/>
      <c r="BE1" s="3"/>
      <c r="BF1" s="135"/>
    </row>
    <row r="2" spans="1:58" ht="15.5" x14ac:dyDescent="0.7">
      <c r="A2" s="2" t="s">
        <v>19</v>
      </c>
      <c r="B2" s="223"/>
      <c r="C2" s="223"/>
      <c r="D2" s="223"/>
      <c r="E2" s="223"/>
      <c r="F2" s="223"/>
      <c r="G2" s="92"/>
      <c r="H2" s="92"/>
      <c r="I2" s="92"/>
      <c r="J2" s="143"/>
      <c r="K2"/>
      <c r="L2"/>
      <c r="M2"/>
      <c r="N2"/>
      <c r="O2"/>
      <c r="P2" s="88"/>
      <c r="Q2"/>
      <c r="R2" s="92"/>
      <c r="S2" s="92"/>
      <c r="T2" s="92"/>
      <c r="U2" s="143"/>
      <c r="V2"/>
      <c r="W2"/>
      <c r="X2"/>
      <c r="Y2"/>
      <c r="Z2"/>
      <c r="AA2" s="88"/>
      <c r="AB2"/>
      <c r="AC2" s="92"/>
      <c r="AD2" s="92"/>
      <c r="AE2" s="92"/>
      <c r="AF2" s="143"/>
      <c r="AG2"/>
      <c r="AH2"/>
      <c r="AI2"/>
      <c r="AJ2"/>
      <c r="AK2"/>
      <c r="AL2" s="88"/>
      <c r="AM2"/>
      <c r="AN2" s="92"/>
      <c r="AO2" s="92"/>
      <c r="AP2" s="92"/>
      <c r="AQ2" s="143"/>
      <c r="AR2"/>
      <c r="AS2"/>
      <c r="AT2"/>
      <c r="AU2"/>
      <c r="AV2"/>
      <c r="AW2" s="88"/>
      <c r="AX2"/>
      <c r="AY2" s="92"/>
      <c r="AZ2" s="92"/>
      <c r="BA2" s="92"/>
      <c r="BB2" s="143"/>
      <c r="BC2"/>
      <c r="BD2"/>
      <c r="BE2"/>
      <c r="BF2" s="143"/>
    </row>
    <row r="3" spans="1:58" ht="15.5" x14ac:dyDescent="0.7">
      <c r="A3" s="2" t="s">
        <v>32</v>
      </c>
      <c r="B3" s="235"/>
      <c r="C3" s="235"/>
      <c r="D3" s="235"/>
      <c r="E3" s="235"/>
      <c r="F3" s="235"/>
      <c r="G3" s="92"/>
      <c r="H3" s="92"/>
      <c r="I3" s="92"/>
      <c r="O3" s="12"/>
      <c r="R3" s="92"/>
      <c r="S3" s="92"/>
      <c r="T3" s="92"/>
      <c r="Z3" s="12"/>
      <c r="AC3" s="92"/>
      <c r="AD3" s="92"/>
      <c r="AE3" s="92"/>
      <c r="AK3" s="12"/>
      <c r="AN3" s="92"/>
      <c r="AO3" s="92"/>
      <c r="AP3" s="92"/>
      <c r="AV3" s="12"/>
      <c r="AY3" s="92"/>
      <c r="AZ3" s="92"/>
      <c r="BA3" s="92"/>
    </row>
    <row r="4" spans="1:58" ht="13.75" thickBot="1" x14ac:dyDescent="0.75">
      <c r="A4" s="1"/>
      <c r="B4" s="17"/>
    </row>
    <row r="5" spans="1:58" ht="15" customHeight="1" x14ac:dyDescent="0.6">
      <c r="A5" s="30"/>
      <c r="B5" s="31"/>
      <c r="C5" s="238" t="s">
        <v>10</v>
      </c>
      <c r="D5" s="238"/>
      <c r="E5" s="238"/>
      <c r="F5" s="238"/>
      <c r="G5" s="238"/>
      <c r="H5" s="238"/>
      <c r="I5" s="238"/>
      <c r="J5" s="238"/>
      <c r="K5" s="61"/>
      <c r="L5" s="61"/>
      <c r="M5" s="32"/>
      <c r="N5" s="234" t="s">
        <v>11</v>
      </c>
      <c r="O5" s="234"/>
      <c r="P5" s="234"/>
      <c r="Q5" s="234"/>
      <c r="R5" s="234"/>
      <c r="S5" s="234"/>
      <c r="T5" s="234"/>
      <c r="U5" s="234"/>
      <c r="V5" s="61"/>
      <c r="W5" s="61"/>
      <c r="X5" s="34"/>
      <c r="Y5" s="234" t="s">
        <v>12</v>
      </c>
      <c r="Z5" s="234"/>
      <c r="AA5" s="234"/>
      <c r="AB5" s="234"/>
      <c r="AC5" s="234"/>
      <c r="AD5" s="234"/>
      <c r="AE5" s="234"/>
      <c r="AF5" s="234"/>
      <c r="AG5" s="61"/>
      <c r="AH5" s="61"/>
      <c r="AI5" s="34"/>
      <c r="AJ5" s="234" t="s">
        <v>13</v>
      </c>
      <c r="AK5" s="234"/>
      <c r="AL5" s="234"/>
      <c r="AM5" s="234"/>
      <c r="AN5" s="234"/>
      <c r="AO5" s="234"/>
      <c r="AP5" s="234"/>
      <c r="AQ5" s="234"/>
      <c r="AR5" s="61"/>
      <c r="AS5" s="61"/>
      <c r="AT5" s="34"/>
      <c r="AU5" s="234" t="s">
        <v>14</v>
      </c>
      <c r="AV5" s="234"/>
      <c r="AW5" s="234"/>
      <c r="AX5" s="234"/>
      <c r="AY5" s="234"/>
      <c r="AZ5" s="234"/>
      <c r="BA5" s="234"/>
      <c r="BB5" s="234"/>
      <c r="BC5" s="61"/>
      <c r="BD5" s="61"/>
      <c r="BE5" s="60"/>
      <c r="BF5" s="146"/>
    </row>
    <row r="6" spans="1:58" s="14" customFormat="1" ht="26" x14ac:dyDescent="0.6">
      <c r="A6" s="236"/>
      <c r="B6" s="237"/>
      <c r="C6" s="74" t="s">
        <v>17</v>
      </c>
      <c r="D6" s="74" t="s">
        <v>37</v>
      </c>
      <c r="E6" s="79" t="s">
        <v>46</v>
      </c>
      <c r="F6" s="75" t="s">
        <v>16</v>
      </c>
      <c r="G6" s="95" t="s">
        <v>38</v>
      </c>
      <c r="H6" s="95" t="s">
        <v>39</v>
      </c>
      <c r="I6" s="95" t="s">
        <v>40</v>
      </c>
      <c r="J6" s="75" t="s">
        <v>41</v>
      </c>
      <c r="K6" s="75" t="s">
        <v>47</v>
      </c>
      <c r="L6" s="75" t="s">
        <v>42</v>
      </c>
      <c r="M6" s="38"/>
      <c r="N6" s="76" t="s">
        <v>17</v>
      </c>
      <c r="O6" s="74" t="s">
        <v>37</v>
      </c>
      <c r="P6" s="79" t="s">
        <v>46</v>
      </c>
      <c r="Q6" s="75" t="s">
        <v>16</v>
      </c>
      <c r="R6" s="95" t="s">
        <v>38</v>
      </c>
      <c r="S6" s="95" t="s">
        <v>39</v>
      </c>
      <c r="T6" s="95" t="s">
        <v>40</v>
      </c>
      <c r="U6" s="75" t="s">
        <v>41</v>
      </c>
      <c r="V6" s="75" t="s">
        <v>47</v>
      </c>
      <c r="W6" s="75" t="s">
        <v>42</v>
      </c>
      <c r="X6" s="38"/>
      <c r="Y6" s="76" t="s">
        <v>17</v>
      </c>
      <c r="Z6" s="74" t="s">
        <v>37</v>
      </c>
      <c r="AA6" s="79" t="s">
        <v>46</v>
      </c>
      <c r="AB6" s="75" t="s">
        <v>16</v>
      </c>
      <c r="AC6" s="95" t="s">
        <v>38</v>
      </c>
      <c r="AD6" s="95" t="s">
        <v>39</v>
      </c>
      <c r="AE6" s="95" t="s">
        <v>40</v>
      </c>
      <c r="AF6" s="75" t="s">
        <v>41</v>
      </c>
      <c r="AG6" s="75" t="s">
        <v>47</v>
      </c>
      <c r="AH6" s="75" t="s">
        <v>42</v>
      </c>
      <c r="AI6" s="77"/>
      <c r="AJ6" s="76" t="s">
        <v>17</v>
      </c>
      <c r="AK6" s="74" t="s">
        <v>37</v>
      </c>
      <c r="AL6" s="79" t="s">
        <v>46</v>
      </c>
      <c r="AM6" s="75" t="s">
        <v>16</v>
      </c>
      <c r="AN6" s="95" t="s">
        <v>38</v>
      </c>
      <c r="AO6" s="95" t="s">
        <v>39</v>
      </c>
      <c r="AP6" s="95" t="s">
        <v>40</v>
      </c>
      <c r="AQ6" s="75" t="s">
        <v>41</v>
      </c>
      <c r="AR6" s="75" t="s">
        <v>47</v>
      </c>
      <c r="AS6" s="75" t="s">
        <v>42</v>
      </c>
      <c r="AT6" s="77"/>
      <c r="AU6" s="76" t="s">
        <v>17</v>
      </c>
      <c r="AV6" s="74" t="s">
        <v>37</v>
      </c>
      <c r="AW6" s="79" t="s">
        <v>46</v>
      </c>
      <c r="AX6" s="75" t="s">
        <v>16</v>
      </c>
      <c r="AY6" s="95" t="s">
        <v>38</v>
      </c>
      <c r="AZ6" s="95" t="s">
        <v>39</v>
      </c>
      <c r="BA6" s="95" t="s">
        <v>40</v>
      </c>
      <c r="BB6" s="75" t="s">
        <v>41</v>
      </c>
      <c r="BC6" s="75" t="s">
        <v>47</v>
      </c>
      <c r="BD6" s="75" t="s">
        <v>42</v>
      </c>
      <c r="BE6" s="56"/>
      <c r="BF6" s="40" t="s">
        <v>2</v>
      </c>
    </row>
    <row r="7" spans="1:58" s="14" customFormat="1" ht="15" customHeight="1" x14ac:dyDescent="0.7">
      <c r="A7" s="222" t="s">
        <v>20</v>
      </c>
      <c r="B7" s="223"/>
      <c r="C7" s="37"/>
      <c r="D7" s="37"/>
      <c r="E7" s="80"/>
      <c r="F7" s="15"/>
      <c r="G7" s="96"/>
      <c r="H7" s="96"/>
      <c r="I7" s="96"/>
      <c r="J7" s="137"/>
      <c r="K7" s="15"/>
      <c r="L7" s="73"/>
      <c r="M7" s="38"/>
      <c r="N7" s="39"/>
      <c r="O7" s="37"/>
      <c r="P7" s="80"/>
      <c r="Q7" s="15"/>
      <c r="R7" s="96"/>
      <c r="S7" s="96"/>
      <c r="T7" s="96"/>
      <c r="U7" s="137"/>
      <c r="V7" s="15"/>
      <c r="W7" s="73"/>
      <c r="X7" s="38"/>
      <c r="Y7" s="39"/>
      <c r="Z7" s="37"/>
      <c r="AA7" s="80"/>
      <c r="AB7" s="15"/>
      <c r="AC7" s="96"/>
      <c r="AD7" s="96"/>
      <c r="AE7" s="96"/>
      <c r="AF7" s="137"/>
      <c r="AG7" s="15"/>
      <c r="AH7" s="73"/>
      <c r="AI7" s="38"/>
      <c r="AJ7" s="39"/>
      <c r="AK7" s="37"/>
      <c r="AL7" s="80"/>
      <c r="AM7" s="15"/>
      <c r="AN7" s="96"/>
      <c r="AO7" s="96"/>
      <c r="AP7" s="96"/>
      <c r="AQ7" s="137"/>
      <c r="AR7" s="15"/>
      <c r="AS7" s="73"/>
      <c r="AT7" s="38"/>
      <c r="AU7" s="39"/>
      <c r="AV7" s="37"/>
      <c r="AW7" s="80"/>
      <c r="AX7" s="15"/>
      <c r="AY7" s="96"/>
      <c r="AZ7" s="96"/>
      <c r="BA7" s="96"/>
      <c r="BB7" s="137"/>
      <c r="BC7" s="15"/>
      <c r="BD7" s="73"/>
      <c r="BE7" s="18"/>
      <c r="BF7" s="147"/>
    </row>
    <row r="8" spans="1:58" s="6" customFormat="1" ht="15" customHeight="1" x14ac:dyDescent="0.6">
      <c r="A8" s="216" t="str">
        <f>'Monthly Budget'!A8</f>
        <v>Martinez Machain, Carla (AY)</v>
      </c>
      <c r="B8" s="217"/>
      <c r="C8" s="12">
        <f>'Monthly Budget'!C8</f>
        <v>0</v>
      </c>
      <c r="D8" s="41">
        <f t="shared" ref="D8:D17" si="0">C8/12*1950</f>
        <v>0</v>
      </c>
      <c r="E8" s="81">
        <f>'Monthly Budget'!E8</f>
        <v>153676</v>
      </c>
      <c r="F8" s="19">
        <f>E8/9</f>
        <v>17075.111111111109</v>
      </c>
      <c r="G8" s="97">
        <f>E8/(1950*0.75)</f>
        <v>105.07760683760684</v>
      </c>
      <c r="H8" s="97">
        <f>G8*Rates!B$3</f>
        <v>67.722517606837599</v>
      </c>
      <c r="I8" s="97">
        <f t="shared" ref="I8:I17" si="1">G8+H8</f>
        <v>172.80012444444444</v>
      </c>
      <c r="J8" s="136">
        <f t="shared" ref="J8:J17" si="2">ROUND(D8*G8, 0)</f>
        <v>0</v>
      </c>
      <c r="K8" s="4">
        <f t="shared" ref="K8:K17" si="3">D8*H8</f>
        <v>0</v>
      </c>
      <c r="L8" s="4">
        <f t="shared" ref="L8:L17" si="4">J8+K8</f>
        <v>0</v>
      </c>
      <c r="M8" s="18"/>
      <c r="N8" s="12">
        <f>'Monthly Budget'!K8</f>
        <v>0</v>
      </c>
      <c r="O8" s="41">
        <f t="shared" ref="O8:O17" si="5">N8/12*1950</f>
        <v>0</v>
      </c>
      <c r="P8" s="81">
        <f t="shared" ref="P8:P17" si="6">E8*1.02</f>
        <v>156749.51999999999</v>
      </c>
      <c r="Q8" s="19">
        <f>P8/9</f>
        <v>17416.613333333331</v>
      </c>
      <c r="R8" s="97">
        <f>P8/(1950*0.75)</f>
        <v>107.17915897435897</v>
      </c>
      <c r="S8" s="97">
        <f>R8*Rates!C$3</f>
        <v>70.148759548717948</v>
      </c>
      <c r="T8" s="97">
        <f t="shared" ref="T8:T17" si="7">R8+S8</f>
        <v>177.3279185230769</v>
      </c>
      <c r="U8" s="136">
        <f t="shared" ref="U8:U17" si="8">ROUND(O8*R8, 0)</f>
        <v>0</v>
      </c>
      <c r="V8" s="4">
        <f t="shared" ref="V8:V17" si="9">ROUND(O8*S8, 0)</f>
        <v>0</v>
      </c>
      <c r="W8" s="4">
        <f t="shared" ref="W8:W17" si="10">U8+V8</f>
        <v>0</v>
      </c>
      <c r="X8" s="18"/>
      <c r="Y8" s="12">
        <f>'Monthly Budget'!S8</f>
        <v>0</v>
      </c>
      <c r="Z8" s="41">
        <f t="shared" ref="Z8:Z17" si="11">Y8/12*1950</f>
        <v>0</v>
      </c>
      <c r="AA8" s="81">
        <f t="shared" ref="AA8:AA17" si="12">P8*1.02</f>
        <v>159884.5104</v>
      </c>
      <c r="AB8" s="19">
        <f>AA8/9</f>
        <v>17764.945599999999</v>
      </c>
      <c r="AC8" s="97">
        <f>AA8/(1950*0.75)</f>
        <v>109.32274215384615</v>
      </c>
      <c r="AD8" s="97">
        <f>AC8*Rates!D$3</f>
        <v>73.071320855630759</v>
      </c>
      <c r="AE8" s="97">
        <f t="shared" ref="AE8:AE17" si="13">AC8+AD8</f>
        <v>182.39406300947689</v>
      </c>
      <c r="AF8" s="136">
        <f t="shared" ref="AF8:AF17" si="14">ROUND(Z8*AC8, 0)</f>
        <v>0</v>
      </c>
      <c r="AG8" s="4">
        <f t="shared" ref="AG8:AG17" si="15">ROUND(Z8*AD8, 0)</f>
        <v>0</v>
      </c>
      <c r="AH8" s="4">
        <f t="shared" ref="AH8:AH17" si="16">AF8+AG8</f>
        <v>0</v>
      </c>
      <c r="AI8" s="18"/>
      <c r="AJ8" s="12">
        <f>'Monthly Budget'!AA8</f>
        <v>0</v>
      </c>
      <c r="AK8" s="41">
        <f t="shared" ref="AK8:AK17" si="17">AJ8/12*1950</f>
        <v>0</v>
      </c>
      <c r="AL8" s="81">
        <f t="shared" ref="AL8:AL17" si="18">AA8*1.02</f>
        <v>163082.20060800001</v>
      </c>
      <c r="AM8" s="19">
        <f>AL8/9</f>
        <v>18120.244512000001</v>
      </c>
      <c r="AN8" s="97">
        <f>AL8/(1950*0.75)</f>
        <v>111.50919699692308</v>
      </c>
      <c r="AO8" s="97">
        <f>AN8*Rates!E$3</f>
        <v>76.13847970949908</v>
      </c>
      <c r="AP8" s="97">
        <f t="shared" ref="AP8:AP17" si="19">AN8+AO8</f>
        <v>187.64767670642215</v>
      </c>
      <c r="AQ8" s="136">
        <f t="shared" ref="AQ8:AQ17" si="20">ROUND(AK8*AN8, 0)</f>
        <v>0</v>
      </c>
      <c r="AR8" s="4">
        <f t="shared" ref="AR8:AR17" si="21">ROUND(AK8*AO8, 0)</f>
        <v>0</v>
      </c>
      <c r="AS8" s="4">
        <f t="shared" ref="AS8:AS17" si="22">AQ8+AR8</f>
        <v>0</v>
      </c>
      <c r="AT8" s="18"/>
      <c r="AU8" s="12">
        <f>'Monthly Budget'!AI8</f>
        <v>0</v>
      </c>
      <c r="AV8" s="41">
        <f t="shared" ref="AV8:AV17" si="23">AU8/12*1950</f>
        <v>0</v>
      </c>
      <c r="AW8" s="81">
        <f t="shared" ref="AW8:AW17" si="24">AL8*1.02</f>
        <v>166343.84462016003</v>
      </c>
      <c r="AX8" s="19">
        <f>AW8/9</f>
        <v>18482.649402240004</v>
      </c>
      <c r="AY8" s="97">
        <f>AW8/(1950*0.75)</f>
        <v>113.73938093686156</v>
      </c>
      <c r="AZ8" s="97">
        <f>AY8*Rates!F$3</f>
        <v>77.661249303689075</v>
      </c>
      <c r="BA8" s="97">
        <f t="shared" ref="BA8:BA17" si="25">AY8+AZ8</f>
        <v>191.40063024055064</v>
      </c>
      <c r="BB8" s="136">
        <f t="shared" ref="BB8:BB17" si="26">ROUND(AV8*AY8, 0)</f>
        <v>0</v>
      </c>
      <c r="BC8" s="4">
        <f t="shared" ref="BC8:BC17" si="27">ROUND(AV8*AZ8, 0)</f>
        <v>0</v>
      </c>
      <c r="BD8" s="4">
        <f t="shared" ref="BD8:BD17" si="28">BB8+BC8</f>
        <v>0</v>
      </c>
      <c r="BE8" s="38"/>
      <c r="BF8" s="148">
        <f t="shared" ref="BF8:BF20" si="29">J8+U8+AF8+AQ8+BB8</f>
        <v>0</v>
      </c>
    </row>
    <row r="9" spans="1:58" s="6" customFormat="1" ht="15" customHeight="1" x14ac:dyDescent="0.6">
      <c r="A9" s="216" t="str">
        <f>'Monthly Budget'!A9</f>
        <v>Name (AY)</v>
      </c>
      <c r="B9" s="217"/>
      <c r="C9" s="12">
        <f>'Monthly Budget'!C9</f>
        <v>0</v>
      </c>
      <c r="D9" s="41">
        <f t="shared" si="0"/>
        <v>0</v>
      </c>
      <c r="E9" s="81">
        <f>'Monthly Budget'!E9</f>
        <v>0</v>
      </c>
      <c r="F9" s="19">
        <f>E9/9</f>
        <v>0</v>
      </c>
      <c r="G9" s="97">
        <f>E9/(1950*0.75)</f>
        <v>0</v>
      </c>
      <c r="H9" s="97">
        <f>G9*Rates!B$3</f>
        <v>0</v>
      </c>
      <c r="I9" s="97">
        <f t="shared" si="1"/>
        <v>0</v>
      </c>
      <c r="J9" s="136">
        <f t="shared" si="2"/>
        <v>0</v>
      </c>
      <c r="K9" s="4">
        <f t="shared" si="3"/>
        <v>0</v>
      </c>
      <c r="L9" s="4">
        <f t="shared" si="4"/>
        <v>0</v>
      </c>
      <c r="M9" s="18"/>
      <c r="N9" s="12">
        <f>'Monthly Budget'!K9</f>
        <v>0</v>
      </c>
      <c r="O9" s="41">
        <f t="shared" si="5"/>
        <v>0</v>
      </c>
      <c r="P9" s="81">
        <f t="shared" si="6"/>
        <v>0</v>
      </c>
      <c r="Q9" s="19">
        <f>P9/9</f>
        <v>0</v>
      </c>
      <c r="R9" s="97">
        <f>P9/(1950*0.75)</f>
        <v>0</v>
      </c>
      <c r="S9" s="97">
        <f>R9*Rates!C$3</f>
        <v>0</v>
      </c>
      <c r="T9" s="97">
        <f t="shared" si="7"/>
        <v>0</v>
      </c>
      <c r="U9" s="136">
        <f t="shared" si="8"/>
        <v>0</v>
      </c>
      <c r="V9" s="4">
        <f t="shared" si="9"/>
        <v>0</v>
      </c>
      <c r="W9" s="4">
        <f t="shared" si="10"/>
        <v>0</v>
      </c>
      <c r="X9" s="18"/>
      <c r="Y9" s="12">
        <f>'Monthly Budget'!S9</f>
        <v>0</v>
      </c>
      <c r="Z9" s="41">
        <f t="shared" si="11"/>
        <v>0</v>
      </c>
      <c r="AA9" s="81">
        <f t="shared" si="12"/>
        <v>0</v>
      </c>
      <c r="AB9" s="19">
        <f>AA9/9</f>
        <v>0</v>
      </c>
      <c r="AC9" s="97">
        <f>AA9/(1950*0.75)</f>
        <v>0</v>
      </c>
      <c r="AD9" s="97">
        <f>AC9*Rates!D$3</f>
        <v>0</v>
      </c>
      <c r="AE9" s="97">
        <f t="shared" si="13"/>
        <v>0</v>
      </c>
      <c r="AF9" s="136">
        <f t="shared" si="14"/>
        <v>0</v>
      </c>
      <c r="AG9" s="4">
        <f t="shared" si="15"/>
        <v>0</v>
      </c>
      <c r="AH9" s="4">
        <f t="shared" si="16"/>
        <v>0</v>
      </c>
      <c r="AI9" s="18"/>
      <c r="AJ9" s="12">
        <f>'Monthly Budget'!AA9</f>
        <v>0</v>
      </c>
      <c r="AK9" s="41">
        <f t="shared" si="17"/>
        <v>0</v>
      </c>
      <c r="AL9" s="81">
        <f t="shared" si="18"/>
        <v>0</v>
      </c>
      <c r="AM9" s="19">
        <f>AL9/9</f>
        <v>0</v>
      </c>
      <c r="AN9" s="97">
        <f>AL9/(1950*0.75)</f>
        <v>0</v>
      </c>
      <c r="AO9" s="97">
        <f>AN9*Rates!E$3</f>
        <v>0</v>
      </c>
      <c r="AP9" s="97">
        <f t="shared" si="19"/>
        <v>0</v>
      </c>
      <c r="AQ9" s="136">
        <f t="shared" si="20"/>
        <v>0</v>
      </c>
      <c r="AR9" s="4">
        <f t="shared" si="21"/>
        <v>0</v>
      </c>
      <c r="AS9" s="4">
        <f t="shared" si="22"/>
        <v>0</v>
      </c>
      <c r="AT9" s="18"/>
      <c r="AU9" s="12">
        <f>'Monthly Budget'!AI9</f>
        <v>0</v>
      </c>
      <c r="AV9" s="41">
        <f t="shared" si="23"/>
        <v>0</v>
      </c>
      <c r="AW9" s="81">
        <f t="shared" si="24"/>
        <v>0</v>
      </c>
      <c r="AX9" s="19">
        <f>AW9/9</f>
        <v>0</v>
      </c>
      <c r="AY9" s="97">
        <f>AW9/(1950*0.75)</f>
        <v>0</v>
      </c>
      <c r="AZ9" s="97">
        <f>AY9*Rates!F$3</f>
        <v>0</v>
      </c>
      <c r="BA9" s="97">
        <f t="shared" si="25"/>
        <v>0</v>
      </c>
      <c r="BB9" s="136">
        <f t="shared" si="26"/>
        <v>0</v>
      </c>
      <c r="BC9" s="4">
        <f t="shared" si="27"/>
        <v>0</v>
      </c>
      <c r="BD9" s="4">
        <f t="shared" si="28"/>
        <v>0</v>
      </c>
      <c r="BE9" s="38"/>
      <c r="BF9" s="148">
        <f t="shared" si="29"/>
        <v>0</v>
      </c>
    </row>
    <row r="10" spans="1:58" s="6" customFormat="1" ht="15" customHeight="1" x14ac:dyDescent="0.6">
      <c r="A10" s="216" t="str">
        <f>'Monthly Budget'!A10</f>
        <v>Name (AY)</v>
      </c>
      <c r="B10" s="217"/>
      <c r="C10" s="12">
        <f>'Monthly Budget'!C10</f>
        <v>0</v>
      </c>
      <c r="D10" s="41">
        <f t="shared" si="0"/>
        <v>0</v>
      </c>
      <c r="E10" s="81">
        <f>'Monthly Budget'!E10</f>
        <v>0</v>
      </c>
      <c r="F10" s="19">
        <f>E10/9</f>
        <v>0</v>
      </c>
      <c r="G10" s="97">
        <f>E10/(1950*0.75)</f>
        <v>0</v>
      </c>
      <c r="H10" s="97">
        <f>G10*Rates!B$3</f>
        <v>0</v>
      </c>
      <c r="I10" s="97">
        <f t="shared" si="1"/>
        <v>0</v>
      </c>
      <c r="J10" s="136">
        <f t="shared" si="2"/>
        <v>0</v>
      </c>
      <c r="K10" s="4">
        <f t="shared" si="3"/>
        <v>0</v>
      </c>
      <c r="L10" s="4">
        <f t="shared" si="4"/>
        <v>0</v>
      </c>
      <c r="M10" s="18"/>
      <c r="N10" s="12">
        <f>'Monthly Budget'!K10</f>
        <v>0</v>
      </c>
      <c r="O10" s="41">
        <f t="shared" si="5"/>
        <v>0</v>
      </c>
      <c r="P10" s="81">
        <f t="shared" si="6"/>
        <v>0</v>
      </c>
      <c r="Q10" s="19">
        <f>P10/9</f>
        <v>0</v>
      </c>
      <c r="R10" s="97">
        <f>P10/(1950*0.75)</f>
        <v>0</v>
      </c>
      <c r="S10" s="97">
        <f>R10*Rates!C$3</f>
        <v>0</v>
      </c>
      <c r="T10" s="97">
        <f t="shared" si="7"/>
        <v>0</v>
      </c>
      <c r="U10" s="136">
        <f t="shared" si="8"/>
        <v>0</v>
      </c>
      <c r="V10" s="4">
        <f t="shared" si="9"/>
        <v>0</v>
      </c>
      <c r="W10" s="4">
        <f t="shared" si="10"/>
        <v>0</v>
      </c>
      <c r="X10" s="18"/>
      <c r="Y10" s="12">
        <f>'Monthly Budget'!S10</f>
        <v>0</v>
      </c>
      <c r="Z10" s="41">
        <f t="shared" si="11"/>
        <v>0</v>
      </c>
      <c r="AA10" s="81">
        <f t="shared" si="12"/>
        <v>0</v>
      </c>
      <c r="AB10" s="19">
        <f>AA10/9</f>
        <v>0</v>
      </c>
      <c r="AC10" s="97">
        <f>AA10/(1950*0.75)</f>
        <v>0</v>
      </c>
      <c r="AD10" s="97">
        <f>AC10*Rates!D$3</f>
        <v>0</v>
      </c>
      <c r="AE10" s="97">
        <f t="shared" si="13"/>
        <v>0</v>
      </c>
      <c r="AF10" s="136">
        <f t="shared" si="14"/>
        <v>0</v>
      </c>
      <c r="AG10" s="4">
        <f t="shared" si="15"/>
        <v>0</v>
      </c>
      <c r="AH10" s="4">
        <f t="shared" si="16"/>
        <v>0</v>
      </c>
      <c r="AI10" s="18"/>
      <c r="AJ10" s="12">
        <f>'Monthly Budget'!AA10</f>
        <v>0</v>
      </c>
      <c r="AK10" s="41">
        <f t="shared" si="17"/>
        <v>0</v>
      </c>
      <c r="AL10" s="81">
        <f t="shared" si="18"/>
        <v>0</v>
      </c>
      <c r="AM10" s="19">
        <f>AL10/9</f>
        <v>0</v>
      </c>
      <c r="AN10" s="97">
        <f>AL10/(1950*0.75)</f>
        <v>0</v>
      </c>
      <c r="AO10" s="97">
        <f>AN10*Rates!E$3</f>
        <v>0</v>
      </c>
      <c r="AP10" s="97">
        <f t="shared" si="19"/>
        <v>0</v>
      </c>
      <c r="AQ10" s="136">
        <f t="shared" si="20"/>
        <v>0</v>
      </c>
      <c r="AR10" s="4">
        <f t="shared" si="21"/>
        <v>0</v>
      </c>
      <c r="AS10" s="4">
        <f t="shared" si="22"/>
        <v>0</v>
      </c>
      <c r="AT10" s="18"/>
      <c r="AU10" s="12">
        <f>'Monthly Budget'!AI10</f>
        <v>0</v>
      </c>
      <c r="AV10" s="41">
        <f t="shared" si="23"/>
        <v>0</v>
      </c>
      <c r="AW10" s="81">
        <f t="shared" si="24"/>
        <v>0</v>
      </c>
      <c r="AX10" s="19">
        <f>AW10/9</f>
        <v>0</v>
      </c>
      <c r="AY10" s="97">
        <f>AW10/(1950*0.75)</f>
        <v>0</v>
      </c>
      <c r="AZ10" s="97">
        <f>AY10*Rates!F$3</f>
        <v>0</v>
      </c>
      <c r="BA10" s="97">
        <f t="shared" si="25"/>
        <v>0</v>
      </c>
      <c r="BB10" s="136">
        <f t="shared" si="26"/>
        <v>0</v>
      </c>
      <c r="BC10" s="4">
        <f t="shared" si="27"/>
        <v>0</v>
      </c>
      <c r="BD10" s="4">
        <f t="shared" si="28"/>
        <v>0</v>
      </c>
      <c r="BE10" s="38"/>
      <c r="BF10" s="148">
        <f t="shared" si="29"/>
        <v>0</v>
      </c>
    </row>
    <row r="11" spans="1:58" s="6" customFormat="1" ht="15" customHeight="1" x14ac:dyDescent="0.6">
      <c r="A11" s="216" t="str">
        <f>'Monthly Budget'!A11</f>
        <v>Name (AY)</v>
      </c>
      <c r="B11" s="217"/>
      <c r="C11" s="12">
        <f>'Monthly Budget'!C11</f>
        <v>0</v>
      </c>
      <c r="D11" s="41">
        <f t="shared" si="0"/>
        <v>0</v>
      </c>
      <c r="E11" s="81">
        <f>'Monthly Budget'!E11</f>
        <v>0</v>
      </c>
      <c r="F11" s="19">
        <f>E11/9</f>
        <v>0</v>
      </c>
      <c r="G11" s="97">
        <f>E11/(1950*0.75)</f>
        <v>0</v>
      </c>
      <c r="H11" s="97">
        <f>G11*Rates!B$3</f>
        <v>0</v>
      </c>
      <c r="I11" s="97">
        <f t="shared" si="1"/>
        <v>0</v>
      </c>
      <c r="J11" s="136">
        <f t="shared" si="2"/>
        <v>0</v>
      </c>
      <c r="K11" s="4">
        <f t="shared" si="3"/>
        <v>0</v>
      </c>
      <c r="L11" s="4">
        <f t="shared" si="4"/>
        <v>0</v>
      </c>
      <c r="M11" s="18"/>
      <c r="N11" s="12">
        <f>'Monthly Budget'!K11</f>
        <v>0</v>
      </c>
      <c r="O11" s="41">
        <f t="shared" si="5"/>
        <v>0</v>
      </c>
      <c r="P11" s="81">
        <f t="shared" si="6"/>
        <v>0</v>
      </c>
      <c r="Q11" s="19">
        <f>P11/9</f>
        <v>0</v>
      </c>
      <c r="R11" s="97">
        <f>P11/(1950*0.75)</f>
        <v>0</v>
      </c>
      <c r="S11" s="97">
        <f>R11*Rates!C$3</f>
        <v>0</v>
      </c>
      <c r="T11" s="97">
        <f t="shared" si="7"/>
        <v>0</v>
      </c>
      <c r="U11" s="136">
        <f t="shared" si="8"/>
        <v>0</v>
      </c>
      <c r="V11" s="4">
        <f t="shared" si="9"/>
        <v>0</v>
      </c>
      <c r="W11" s="4">
        <f t="shared" si="10"/>
        <v>0</v>
      </c>
      <c r="X11" s="18"/>
      <c r="Y11" s="12">
        <f>'Monthly Budget'!S11</f>
        <v>0</v>
      </c>
      <c r="Z11" s="41">
        <f t="shared" si="11"/>
        <v>0</v>
      </c>
      <c r="AA11" s="81">
        <f t="shared" si="12"/>
        <v>0</v>
      </c>
      <c r="AB11" s="19">
        <f>AA11/9</f>
        <v>0</v>
      </c>
      <c r="AC11" s="97">
        <f>AA11/(1950*0.75)</f>
        <v>0</v>
      </c>
      <c r="AD11" s="97">
        <f>AC11*Rates!D$3</f>
        <v>0</v>
      </c>
      <c r="AE11" s="97">
        <f t="shared" si="13"/>
        <v>0</v>
      </c>
      <c r="AF11" s="136">
        <f t="shared" si="14"/>
        <v>0</v>
      </c>
      <c r="AG11" s="4">
        <f t="shared" si="15"/>
        <v>0</v>
      </c>
      <c r="AH11" s="4">
        <f t="shared" si="16"/>
        <v>0</v>
      </c>
      <c r="AI11" s="18"/>
      <c r="AJ11" s="12">
        <f>'Monthly Budget'!AA11</f>
        <v>0</v>
      </c>
      <c r="AK11" s="41">
        <f t="shared" si="17"/>
        <v>0</v>
      </c>
      <c r="AL11" s="81">
        <f t="shared" si="18"/>
        <v>0</v>
      </c>
      <c r="AM11" s="19">
        <f>AL11/9</f>
        <v>0</v>
      </c>
      <c r="AN11" s="97">
        <f>AL11/(1950*0.75)</f>
        <v>0</v>
      </c>
      <c r="AO11" s="97">
        <f>AN11*Rates!E$3</f>
        <v>0</v>
      </c>
      <c r="AP11" s="97">
        <f t="shared" si="19"/>
        <v>0</v>
      </c>
      <c r="AQ11" s="136">
        <f t="shared" si="20"/>
        <v>0</v>
      </c>
      <c r="AR11" s="4">
        <f t="shared" si="21"/>
        <v>0</v>
      </c>
      <c r="AS11" s="4">
        <f t="shared" si="22"/>
        <v>0</v>
      </c>
      <c r="AT11" s="18"/>
      <c r="AU11" s="12">
        <f>'Monthly Budget'!AI11</f>
        <v>0</v>
      </c>
      <c r="AV11" s="41">
        <f t="shared" si="23"/>
        <v>0</v>
      </c>
      <c r="AW11" s="81">
        <f t="shared" si="24"/>
        <v>0</v>
      </c>
      <c r="AX11" s="19">
        <f>AW11/9</f>
        <v>0</v>
      </c>
      <c r="AY11" s="97">
        <f>AW11/(1950*0.75)</f>
        <v>0</v>
      </c>
      <c r="AZ11" s="97">
        <f>AY11*Rates!F$3</f>
        <v>0</v>
      </c>
      <c r="BA11" s="97">
        <f t="shared" si="25"/>
        <v>0</v>
      </c>
      <c r="BB11" s="136">
        <f t="shared" si="26"/>
        <v>0</v>
      </c>
      <c r="BC11" s="4">
        <f t="shared" si="27"/>
        <v>0</v>
      </c>
      <c r="BD11" s="4">
        <f t="shared" si="28"/>
        <v>0</v>
      </c>
      <c r="BE11" s="18"/>
      <c r="BF11" s="148">
        <f>J11+U11+AF11+AQ11+BB11</f>
        <v>0</v>
      </c>
    </row>
    <row r="12" spans="1:58" s="6" customFormat="1" ht="15" customHeight="1" x14ac:dyDescent="0.6">
      <c r="A12" s="216" t="str">
        <f>'Monthly Budget'!A12</f>
        <v>Name (AY)</v>
      </c>
      <c r="B12" s="217"/>
      <c r="C12" s="12">
        <f>'Monthly Budget'!C12</f>
        <v>0</v>
      </c>
      <c r="D12" s="41">
        <f t="shared" si="0"/>
        <v>0</v>
      </c>
      <c r="E12" s="81">
        <f>'Monthly Budget'!E12</f>
        <v>0</v>
      </c>
      <c r="F12" s="19">
        <f>E12/9</f>
        <v>0</v>
      </c>
      <c r="G12" s="97">
        <f>E12/(1950*0.75)</f>
        <v>0</v>
      </c>
      <c r="H12" s="97">
        <f>G12*Rates!B$3</f>
        <v>0</v>
      </c>
      <c r="I12" s="97">
        <f t="shared" si="1"/>
        <v>0</v>
      </c>
      <c r="J12" s="136">
        <f t="shared" si="2"/>
        <v>0</v>
      </c>
      <c r="K12" s="4">
        <f t="shared" si="3"/>
        <v>0</v>
      </c>
      <c r="L12" s="4">
        <f t="shared" si="4"/>
        <v>0</v>
      </c>
      <c r="M12" s="18"/>
      <c r="N12" s="12">
        <f>'Monthly Budget'!K12</f>
        <v>0</v>
      </c>
      <c r="O12" s="41">
        <f t="shared" si="5"/>
        <v>0</v>
      </c>
      <c r="P12" s="81">
        <f t="shared" si="6"/>
        <v>0</v>
      </c>
      <c r="Q12" s="19">
        <f>P12/9</f>
        <v>0</v>
      </c>
      <c r="R12" s="97">
        <f>P12/(1950*0.75)</f>
        <v>0</v>
      </c>
      <c r="S12" s="97">
        <f>R12*Rates!C$3</f>
        <v>0</v>
      </c>
      <c r="T12" s="97">
        <f t="shared" si="7"/>
        <v>0</v>
      </c>
      <c r="U12" s="136">
        <f t="shared" si="8"/>
        <v>0</v>
      </c>
      <c r="V12" s="4">
        <f t="shared" si="9"/>
        <v>0</v>
      </c>
      <c r="W12" s="4">
        <f t="shared" si="10"/>
        <v>0</v>
      </c>
      <c r="X12" s="18"/>
      <c r="Y12" s="12">
        <f>'Monthly Budget'!S12</f>
        <v>0</v>
      </c>
      <c r="Z12" s="41">
        <f t="shared" si="11"/>
        <v>0</v>
      </c>
      <c r="AA12" s="81">
        <f t="shared" si="12"/>
        <v>0</v>
      </c>
      <c r="AB12" s="19">
        <f>AA12/9</f>
        <v>0</v>
      </c>
      <c r="AC12" s="97">
        <f>AA12/(1950*0.75)</f>
        <v>0</v>
      </c>
      <c r="AD12" s="97">
        <f>AC12*Rates!D$3</f>
        <v>0</v>
      </c>
      <c r="AE12" s="97">
        <f t="shared" si="13"/>
        <v>0</v>
      </c>
      <c r="AF12" s="136">
        <f t="shared" si="14"/>
        <v>0</v>
      </c>
      <c r="AG12" s="4">
        <f t="shared" si="15"/>
        <v>0</v>
      </c>
      <c r="AH12" s="4">
        <f t="shared" si="16"/>
        <v>0</v>
      </c>
      <c r="AI12" s="18"/>
      <c r="AJ12" s="12">
        <f>'Monthly Budget'!AA12</f>
        <v>0</v>
      </c>
      <c r="AK12" s="41">
        <f t="shared" si="17"/>
        <v>0</v>
      </c>
      <c r="AL12" s="81">
        <f t="shared" si="18"/>
        <v>0</v>
      </c>
      <c r="AM12" s="19">
        <f>AL12/9</f>
        <v>0</v>
      </c>
      <c r="AN12" s="97">
        <f>AL12/(1950*0.75)</f>
        <v>0</v>
      </c>
      <c r="AO12" s="97">
        <f>AN12*Rates!E$3</f>
        <v>0</v>
      </c>
      <c r="AP12" s="97">
        <f t="shared" si="19"/>
        <v>0</v>
      </c>
      <c r="AQ12" s="136">
        <f t="shared" si="20"/>
        <v>0</v>
      </c>
      <c r="AR12" s="4">
        <f t="shared" si="21"/>
        <v>0</v>
      </c>
      <c r="AS12" s="4">
        <f t="shared" si="22"/>
        <v>0</v>
      </c>
      <c r="AT12" s="18"/>
      <c r="AU12" s="12">
        <f>'Monthly Budget'!AI12</f>
        <v>0</v>
      </c>
      <c r="AV12" s="41">
        <f t="shared" si="23"/>
        <v>0</v>
      </c>
      <c r="AW12" s="81">
        <f t="shared" si="24"/>
        <v>0</v>
      </c>
      <c r="AX12" s="19">
        <f>AW12/9</f>
        <v>0</v>
      </c>
      <c r="AY12" s="97">
        <f>AW12/(1950*0.75)</f>
        <v>0</v>
      </c>
      <c r="AZ12" s="97">
        <f>AY12*Rates!F$3</f>
        <v>0</v>
      </c>
      <c r="BA12" s="97">
        <f t="shared" si="25"/>
        <v>0</v>
      </c>
      <c r="BB12" s="136">
        <f t="shared" si="26"/>
        <v>0</v>
      </c>
      <c r="BC12" s="4">
        <f t="shared" si="27"/>
        <v>0</v>
      </c>
      <c r="BD12" s="4">
        <f t="shared" si="28"/>
        <v>0</v>
      </c>
      <c r="BE12" s="18"/>
      <c r="BF12" s="148">
        <f t="shared" si="29"/>
        <v>0</v>
      </c>
    </row>
    <row r="13" spans="1:58" s="6" customFormat="1" ht="15" customHeight="1" x14ac:dyDescent="0.6">
      <c r="A13" s="216" t="str">
        <f>'Monthly Budget'!A13:B13</f>
        <v>Name (CY)</v>
      </c>
      <c r="B13" s="217"/>
      <c r="C13" s="12">
        <f>'Monthly Budget'!C13</f>
        <v>0</v>
      </c>
      <c r="D13" s="41">
        <f t="shared" si="0"/>
        <v>0</v>
      </c>
      <c r="E13" s="81">
        <f>'Monthly Budget'!E13</f>
        <v>0</v>
      </c>
      <c r="F13" s="19">
        <f>E13/12</f>
        <v>0</v>
      </c>
      <c r="G13" s="97">
        <f>E13/(1950)</f>
        <v>0</v>
      </c>
      <c r="H13" s="97">
        <f>G13*Rates!B$3</f>
        <v>0</v>
      </c>
      <c r="I13" s="97">
        <f t="shared" si="1"/>
        <v>0</v>
      </c>
      <c r="J13" s="136">
        <f t="shared" si="2"/>
        <v>0</v>
      </c>
      <c r="K13" s="4">
        <f t="shared" si="3"/>
        <v>0</v>
      </c>
      <c r="L13" s="4">
        <f t="shared" si="4"/>
        <v>0</v>
      </c>
      <c r="M13" s="18"/>
      <c r="N13" s="12">
        <f>'Monthly Budget'!K13</f>
        <v>0</v>
      </c>
      <c r="O13" s="41">
        <f t="shared" si="5"/>
        <v>0</v>
      </c>
      <c r="P13" s="81">
        <f t="shared" si="6"/>
        <v>0</v>
      </c>
      <c r="Q13" s="19">
        <f>P13/12</f>
        <v>0</v>
      </c>
      <c r="R13" s="97">
        <f>P13/(1950)</f>
        <v>0</v>
      </c>
      <c r="S13" s="97">
        <f>R13*Rates!C$3</f>
        <v>0</v>
      </c>
      <c r="T13" s="97">
        <f t="shared" si="7"/>
        <v>0</v>
      </c>
      <c r="U13" s="136">
        <f t="shared" si="8"/>
        <v>0</v>
      </c>
      <c r="V13" s="4">
        <f t="shared" si="9"/>
        <v>0</v>
      </c>
      <c r="W13" s="4">
        <f t="shared" si="10"/>
        <v>0</v>
      </c>
      <c r="X13" s="18"/>
      <c r="Y13" s="12">
        <f>'Monthly Budget'!S13</f>
        <v>0</v>
      </c>
      <c r="Z13" s="41">
        <f t="shared" si="11"/>
        <v>0</v>
      </c>
      <c r="AA13" s="81">
        <f t="shared" si="12"/>
        <v>0</v>
      </c>
      <c r="AB13" s="19">
        <f>AA13/12</f>
        <v>0</v>
      </c>
      <c r="AC13" s="97">
        <f>AA13/(1950)</f>
        <v>0</v>
      </c>
      <c r="AD13" s="97">
        <f>AC13*Rates!D$3</f>
        <v>0</v>
      </c>
      <c r="AE13" s="97">
        <f t="shared" si="13"/>
        <v>0</v>
      </c>
      <c r="AF13" s="136">
        <f t="shared" si="14"/>
        <v>0</v>
      </c>
      <c r="AG13" s="4">
        <f t="shared" si="15"/>
        <v>0</v>
      </c>
      <c r="AH13" s="4">
        <f t="shared" si="16"/>
        <v>0</v>
      </c>
      <c r="AI13" s="18"/>
      <c r="AJ13" s="12">
        <f>'Monthly Budget'!AA13</f>
        <v>0</v>
      </c>
      <c r="AK13" s="41">
        <f t="shared" si="17"/>
        <v>0</v>
      </c>
      <c r="AL13" s="81">
        <f t="shared" si="18"/>
        <v>0</v>
      </c>
      <c r="AM13" s="19">
        <f>AL13/12</f>
        <v>0</v>
      </c>
      <c r="AN13" s="97">
        <f>AL13/(1950)</f>
        <v>0</v>
      </c>
      <c r="AO13" s="97">
        <f>AN13*Rates!E$3</f>
        <v>0</v>
      </c>
      <c r="AP13" s="97">
        <f t="shared" si="19"/>
        <v>0</v>
      </c>
      <c r="AQ13" s="136">
        <f t="shared" si="20"/>
        <v>0</v>
      </c>
      <c r="AR13" s="4">
        <f t="shared" si="21"/>
        <v>0</v>
      </c>
      <c r="AS13" s="4">
        <f t="shared" si="22"/>
        <v>0</v>
      </c>
      <c r="AT13" s="18"/>
      <c r="AU13" s="12">
        <f>'Monthly Budget'!AI13</f>
        <v>0</v>
      </c>
      <c r="AV13" s="41">
        <f t="shared" si="23"/>
        <v>0</v>
      </c>
      <c r="AW13" s="81">
        <f t="shared" si="24"/>
        <v>0</v>
      </c>
      <c r="AX13" s="19">
        <f>AW13/12</f>
        <v>0</v>
      </c>
      <c r="AY13" s="97">
        <f>AW13/(1950)</f>
        <v>0</v>
      </c>
      <c r="AZ13" s="97">
        <f>AY13*Rates!F$3</f>
        <v>0</v>
      </c>
      <c r="BA13" s="97">
        <f t="shared" si="25"/>
        <v>0</v>
      </c>
      <c r="BB13" s="136">
        <f t="shared" si="26"/>
        <v>0</v>
      </c>
      <c r="BC13" s="4">
        <f t="shared" si="27"/>
        <v>0</v>
      </c>
      <c r="BD13" s="4">
        <f t="shared" si="28"/>
        <v>0</v>
      </c>
      <c r="BE13" s="18"/>
      <c r="BF13" s="148">
        <f>J13+U13+AF13+AQ13+BB13</f>
        <v>0</v>
      </c>
    </row>
    <row r="14" spans="1:58" s="6" customFormat="1" ht="15" customHeight="1" x14ac:dyDescent="0.6">
      <c r="A14" s="216" t="str">
        <f>'Monthly Budget'!A14:B14</f>
        <v>Name (CY)</v>
      </c>
      <c r="B14" s="217"/>
      <c r="C14" s="12">
        <f>'Monthly Budget'!C14</f>
        <v>0</v>
      </c>
      <c r="D14" s="41">
        <f t="shared" si="0"/>
        <v>0</v>
      </c>
      <c r="E14" s="81">
        <f>'Monthly Budget'!E14</f>
        <v>0</v>
      </c>
      <c r="F14" s="19">
        <f>E14/12</f>
        <v>0</v>
      </c>
      <c r="G14" s="97">
        <f>E14/(1950)</f>
        <v>0</v>
      </c>
      <c r="H14" s="97">
        <f>G14*Rates!B$3</f>
        <v>0</v>
      </c>
      <c r="I14" s="97">
        <f t="shared" si="1"/>
        <v>0</v>
      </c>
      <c r="J14" s="136">
        <f t="shared" si="2"/>
        <v>0</v>
      </c>
      <c r="K14" s="4">
        <f t="shared" si="3"/>
        <v>0</v>
      </c>
      <c r="L14" s="4">
        <f t="shared" si="4"/>
        <v>0</v>
      </c>
      <c r="M14" s="18"/>
      <c r="N14" s="12">
        <f>'Monthly Budget'!K14</f>
        <v>0</v>
      </c>
      <c r="O14" s="41">
        <f t="shared" si="5"/>
        <v>0</v>
      </c>
      <c r="P14" s="81">
        <f t="shared" si="6"/>
        <v>0</v>
      </c>
      <c r="Q14" s="19">
        <f>P14/12</f>
        <v>0</v>
      </c>
      <c r="R14" s="97">
        <f>P14/(1950)</f>
        <v>0</v>
      </c>
      <c r="S14" s="97">
        <f>R14*Rates!C$3</f>
        <v>0</v>
      </c>
      <c r="T14" s="97">
        <f t="shared" si="7"/>
        <v>0</v>
      </c>
      <c r="U14" s="136">
        <f t="shared" si="8"/>
        <v>0</v>
      </c>
      <c r="V14" s="4">
        <f t="shared" si="9"/>
        <v>0</v>
      </c>
      <c r="W14" s="4">
        <f t="shared" si="10"/>
        <v>0</v>
      </c>
      <c r="X14" s="18"/>
      <c r="Y14" s="12">
        <f>'Monthly Budget'!S14</f>
        <v>0</v>
      </c>
      <c r="Z14" s="41">
        <f t="shared" si="11"/>
        <v>0</v>
      </c>
      <c r="AA14" s="81">
        <f t="shared" si="12"/>
        <v>0</v>
      </c>
      <c r="AB14" s="19">
        <f>AA14/12</f>
        <v>0</v>
      </c>
      <c r="AC14" s="97">
        <f>AA14/(1950)</f>
        <v>0</v>
      </c>
      <c r="AD14" s="97">
        <f>AC14*Rates!D$3</f>
        <v>0</v>
      </c>
      <c r="AE14" s="97">
        <f t="shared" si="13"/>
        <v>0</v>
      </c>
      <c r="AF14" s="136">
        <f t="shared" si="14"/>
        <v>0</v>
      </c>
      <c r="AG14" s="4">
        <f t="shared" si="15"/>
        <v>0</v>
      </c>
      <c r="AH14" s="4">
        <f t="shared" si="16"/>
        <v>0</v>
      </c>
      <c r="AI14" s="18"/>
      <c r="AJ14" s="12">
        <f>'Monthly Budget'!AA14</f>
        <v>0</v>
      </c>
      <c r="AK14" s="41">
        <f t="shared" si="17"/>
        <v>0</v>
      </c>
      <c r="AL14" s="81">
        <f t="shared" si="18"/>
        <v>0</v>
      </c>
      <c r="AM14" s="19">
        <f>AL14/12</f>
        <v>0</v>
      </c>
      <c r="AN14" s="97">
        <f>AL14/(1950)</f>
        <v>0</v>
      </c>
      <c r="AO14" s="97">
        <f>AN14*Rates!E$3</f>
        <v>0</v>
      </c>
      <c r="AP14" s="97">
        <f t="shared" si="19"/>
        <v>0</v>
      </c>
      <c r="AQ14" s="136">
        <f t="shared" si="20"/>
        <v>0</v>
      </c>
      <c r="AR14" s="4">
        <f t="shared" si="21"/>
        <v>0</v>
      </c>
      <c r="AS14" s="4">
        <f t="shared" si="22"/>
        <v>0</v>
      </c>
      <c r="AT14" s="18"/>
      <c r="AU14" s="12">
        <f>'Monthly Budget'!AI14</f>
        <v>0</v>
      </c>
      <c r="AV14" s="41">
        <f t="shared" si="23"/>
        <v>0</v>
      </c>
      <c r="AW14" s="81">
        <f t="shared" si="24"/>
        <v>0</v>
      </c>
      <c r="AX14" s="19">
        <f>AW14/12</f>
        <v>0</v>
      </c>
      <c r="AY14" s="97">
        <f>AW14/(1950)</f>
        <v>0</v>
      </c>
      <c r="AZ14" s="97">
        <f>AY14*Rates!F$3</f>
        <v>0</v>
      </c>
      <c r="BA14" s="97">
        <f t="shared" si="25"/>
        <v>0</v>
      </c>
      <c r="BB14" s="136">
        <f t="shared" si="26"/>
        <v>0</v>
      </c>
      <c r="BC14" s="4">
        <f t="shared" si="27"/>
        <v>0</v>
      </c>
      <c r="BD14" s="4">
        <f t="shared" si="28"/>
        <v>0</v>
      </c>
      <c r="BE14" s="18"/>
      <c r="BF14" s="148">
        <f>J14+U14+AF14+AQ14+BB14</f>
        <v>0</v>
      </c>
    </row>
    <row r="15" spans="1:58" s="6" customFormat="1" ht="15" customHeight="1" x14ac:dyDescent="0.6">
      <c r="A15" s="216" t="str">
        <f>'Monthly Budget'!A15:B15</f>
        <v>Name (CY)</v>
      </c>
      <c r="B15" s="217"/>
      <c r="C15" s="12">
        <f>'Monthly Budget'!C15</f>
        <v>0</v>
      </c>
      <c r="D15" s="41">
        <f t="shared" si="0"/>
        <v>0</v>
      </c>
      <c r="E15" s="81">
        <f>'Monthly Budget'!E15</f>
        <v>0</v>
      </c>
      <c r="F15" s="19">
        <f>E15/12</f>
        <v>0</v>
      </c>
      <c r="G15" s="97">
        <f>E15/(1950)</f>
        <v>0</v>
      </c>
      <c r="H15" s="97">
        <f>G15*Rates!B$3</f>
        <v>0</v>
      </c>
      <c r="I15" s="97">
        <f t="shared" si="1"/>
        <v>0</v>
      </c>
      <c r="J15" s="136">
        <f t="shared" si="2"/>
        <v>0</v>
      </c>
      <c r="K15" s="4">
        <f t="shared" si="3"/>
        <v>0</v>
      </c>
      <c r="L15" s="4">
        <f t="shared" si="4"/>
        <v>0</v>
      </c>
      <c r="M15" s="18"/>
      <c r="N15" s="12">
        <f>'Monthly Budget'!K15</f>
        <v>0</v>
      </c>
      <c r="O15" s="41">
        <f t="shared" si="5"/>
        <v>0</v>
      </c>
      <c r="P15" s="81">
        <f t="shared" si="6"/>
        <v>0</v>
      </c>
      <c r="Q15" s="19">
        <f>P15/12</f>
        <v>0</v>
      </c>
      <c r="R15" s="97">
        <f>P15/(1950)</f>
        <v>0</v>
      </c>
      <c r="S15" s="97">
        <f>R15*Rates!C$3</f>
        <v>0</v>
      </c>
      <c r="T15" s="97">
        <f t="shared" si="7"/>
        <v>0</v>
      </c>
      <c r="U15" s="136">
        <f t="shared" si="8"/>
        <v>0</v>
      </c>
      <c r="V15" s="4">
        <f t="shared" si="9"/>
        <v>0</v>
      </c>
      <c r="W15" s="4">
        <f t="shared" si="10"/>
        <v>0</v>
      </c>
      <c r="X15" s="18"/>
      <c r="Y15" s="12">
        <f>'Monthly Budget'!S15</f>
        <v>0</v>
      </c>
      <c r="Z15" s="41">
        <f t="shared" si="11"/>
        <v>0</v>
      </c>
      <c r="AA15" s="81">
        <f t="shared" si="12"/>
        <v>0</v>
      </c>
      <c r="AB15" s="19">
        <f>AA15/12</f>
        <v>0</v>
      </c>
      <c r="AC15" s="97">
        <f>AA15/(1950)</f>
        <v>0</v>
      </c>
      <c r="AD15" s="97">
        <f>AC15*Rates!D$3</f>
        <v>0</v>
      </c>
      <c r="AE15" s="97">
        <f t="shared" si="13"/>
        <v>0</v>
      </c>
      <c r="AF15" s="136">
        <f t="shared" si="14"/>
        <v>0</v>
      </c>
      <c r="AG15" s="4">
        <f t="shared" si="15"/>
        <v>0</v>
      </c>
      <c r="AH15" s="4">
        <f t="shared" si="16"/>
        <v>0</v>
      </c>
      <c r="AI15" s="18"/>
      <c r="AJ15" s="12">
        <f>'Monthly Budget'!AA15</f>
        <v>0</v>
      </c>
      <c r="AK15" s="41">
        <f t="shared" si="17"/>
        <v>0</v>
      </c>
      <c r="AL15" s="81">
        <f t="shared" si="18"/>
        <v>0</v>
      </c>
      <c r="AM15" s="19">
        <f>AL15/12</f>
        <v>0</v>
      </c>
      <c r="AN15" s="97">
        <f>AL15/(1950)</f>
        <v>0</v>
      </c>
      <c r="AO15" s="97">
        <f>AN15*Rates!E$3</f>
        <v>0</v>
      </c>
      <c r="AP15" s="97">
        <f t="shared" si="19"/>
        <v>0</v>
      </c>
      <c r="AQ15" s="136">
        <f t="shared" si="20"/>
        <v>0</v>
      </c>
      <c r="AR15" s="4">
        <f t="shared" si="21"/>
        <v>0</v>
      </c>
      <c r="AS15" s="4">
        <f t="shared" si="22"/>
        <v>0</v>
      </c>
      <c r="AT15" s="18"/>
      <c r="AU15" s="12">
        <f>'Monthly Budget'!AI15</f>
        <v>0</v>
      </c>
      <c r="AV15" s="41">
        <f t="shared" si="23"/>
        <v>0</v>
      </c>
      <c r="AW15" s="81">
        <f t="shared" si="24"/>
        <v>0</v>
      </c>
      <c r="AX15" s="19">
        <f>AW15/12</f>
        <v>0</v>
      </c>
      <c r="AY15" s="97">
        <f>AW15/(1950)</f>
        <v>0</v>
      </c>
      <c r="AZ15" s="97">
        <f>AY15*Rates!F$3</f>
        <v>0</v>
      </c>
      <c r="BA15" s="97">
        <f t="shared" si="25"/>
        <v>0</v>
      </c>
      <c r="BB15" s="136">
        <f t="shared" si="26"/>
        <v>0</v>
      </c>
      <c r="BC15" s="4">
        <f t="shared" si="27"/>
        <v>0</v>
      </c>
      <c r="BD15" s="4">
        <f t="shared" si="28"/>
        <v>0</v>
      </c>
      <c r="BE15" s="18"/>
      <c r="BF15" s="148">
        <f>J15+U15+AF15+AQ15+BB15</f>
        <v>0</v>
      </c>
    </row>
    <row r="16" spans="1:58" s="6" customFormat="1" ht="15" customHeight="1" x14ac:dyDescent="0.6">
      <c r="A16" s="216" t="str">
        <f>'Monthly Budget'!A16:B16</f>
        <v>Name (CY)</v>
      </c>
      <c r="B16" s="217"/>
      <c r="C16" s="12">
        <f>'Monthly Budget'!C16</f>
        <v>0</v>
      </c>
      <c r="D16" s="41">
        <f t="shared" si="0"/>
        <v>0</v>
      </c>
      <c r="E16" s="81">
        <f>'Monthly Budget'!E16</f>
        <v>0</v>
      </c>
      <c r="F16" s="19">
        <f>E16/12</f>
        <v>0</v>
      </c>
      <c r="G16" s="97">
        <f>E16/(1950)</f>
        <v>0</v>
      </c>
      <c r="H16" s="97">
        <f>G16*Rates!B$3</f>
        <v>0</v>
      </c>
      <c r="I16" s="97">
        <f t="shared" si="1"/>
        <v>0</v>
      </c>
      <c r="J16" s="136">
        <f t="shared" si="2"/>
        <v>0</v>
      </c>
      <c r="K16" s="4">
        <f t="shared" si="3"/>
        <v>0</v>
      </c>
      <c r="L16" s="4">
        <f t="shared" si="4"/>
        <v>0</v>
      </c>
      <c r="M16" s="18"/>
      <c r="N16" s="12">
        <f>'Monthly Budget'!K16</f>
        <v>0</v>
      </c>
      <c r="O16" s="41">
        <f t="shared" si="5"/>
        <v>0</v>
      </c>
      <c r="P16" s="81">
        <f t="shared" si="6"/>
        <v>0</v>
      </c>
      <c r="Q16" s="19">
        <f>P16/12</f>
        <v>0</v>
      </c>
      <c r="R16" s="97">
        <f>P16/(1950)</f>
        <v>0</v>
      </c>
      <c r="S16" s="97">
        <f>R16*Rates!C$3</f>
        <v>0</v>
      </c>
      <c r="T16" s="97">
        <f t="shared" si="7"/>
        <v>0</v>
      </c>
      <c r="U16" s="136">
        <f t="shared" si="8"/>
        <v>0</v>
      </c>
      <c r="V16" s="4">
        <f t="shared" si="9"/>
        <v>0</v>
      </c>
      <c r="W16" s="4">
        <f t="shared" si="10"/>
        <v>0</v>
      </c>
      <c r="X16" s="18"/>
      <c r="Y16" s="12">
        <f>'Monthly Budget'!S16</f>
        <v>0</v>
      </c>
      <c r="Z16" s="41">
        <f t="shared" si="11"/>
        <v>0</v>
      </c>
      <c r="AA16" s="81">
        <f t="shared" si="12"/>
        <v>0</v>
      </c>
      <c r="AB16" s="19">
        <f>AA16/12</f>
        <v>0</v>
      </c>
      <c r="AC16" s="97">
        <f>AA16/(1950)</f>
        <v>0</v>
      </c>
      <c r="AD16" s="97">
        <f>AC16*Rates!D$3</f>
        <v>0</v>
      </c>
      <c r="AE16" s="97">
        <f t="shared" si="13"/>
        <v>0</v>
      </c>
      <c r="AF16" s="136">
        <f t="shared" si="14"/>
        <v>0</v>
      </c>
      <c r="AG16" s="4">
        <f t="shared" si="15"/>
        <v>0</v>
      </c>
      <c r="AH16" s="4">
        <f t="shared" si="16"/>
        <v>0</v>
      </c>
      <c r="AI16" s="18"/>
      <c r="AJ16" s="12">
        <f>'Monthly Budget'!AA16</f>
        <v>0</v>
      </c>
      <c r="AK16" s="41">
        <f t="shared" si="17"/>
        <v>0</v>
      </c>
      <c r="AL16" s="81">
        <f t="shared" si="18"/>
        <v>0</v>
      </c>
      <c r="AM16" s="19">
        <f>AL16/12</f>
        <v>0</v>
      </c>
      <c r="AN16" s="97">
        <f>AL16/(1950)</f>
        <v>0</v>
      </c>
      <c r="AO16" s="97">
        <f>AN16*Rates!E$3</f>
        <v>0</v>
      </c>
      <c r="AP16" s="97">
        <f t="shared" si="19"/>
        <v>0</v>
      </c>
      <c r="AQ16" s="136">
        <f t="shared" si="20"/>
        <v>0</v>
      </c>
      <c r="AR16" s="4">
        <f t="shared" si="21"/>
        <v>0</v>
      </c>
      <c r="AS16" s="4">
        <f t="shared" si="22"/>
        <v>0</v>
      </c>
      <c r="AT16" s="18"/>
      <c r="AU16" s="12">
        <f>'Monthly Budget'!AI16</f>
        <v>0</v>
      </c>
      <c r="AV16" s="41">
        <f t="shared" si="23"/>
        <v>0</v>
      </c>
      <c r="AW16" s="81">
        <f t="shared" si="24"/>
        <v>0</v>
      </c>
      <c r="AX16" s="19">
        <f>AW16/12</f>
        <v>0</v>
      </c>
      <c r="AY16" s="97">
        <f>AW16/(1950)</f>
        <v>0</v>
      </c>
      <c r="AZ16" s="97">
        <f>AY16*Rates!F$3</f>
        <v>0</v>
      </c>
      <c r="BA16" s="97">
        <f t="shared" si="25"/>
        <v>0</v>
      </c>
      <c r="BB16" s="136">
        <f t="shared" si="26"/>
        <v>0</v>
      </c>
      <c r="BC16" s="4">
        <f t="shared" si="27"/>
        <v>0</v>
      </c>
      <c r="BD16" s="4">
        <f t="shared" si="28"/>
        <v>0</v>
      </c>
      <c r="BE16" s="18"/>
      <c r="BF16" s="148">
        <f t="shared" si="29"/>
        <v>0</v>
      </c>
    </row>
    <row r="17" spans="1:58" s="6" customFormat="1" ht="15" customHeight="1" thickBot="1" x14ac:dyDescent="0.75">
      <c r="A17" s="216" t="str">
        <f>'Monthly Budget'!A17:B17</f>
        <v>Name (CY)</v>
      </c>
      <c r="B17" s="217"/>
      <c r="C17" s="41">
        <f>'Monthly Budget'!C17</f>
        <v>0</v>
      </c>
      <c r="D17" s="41">
        <f t="shared" si="0"/>
        <v>0</v>
      </c>
      <c r="E17" s="81">
        <f>'Monthly Budget'!E17</f>
        <v>0</v>
      </c>
      <c r="F17" s="19">
        <f>E17/12</f>
        <v>0</v>
      </c>
      <c r="G17" s="97">
        <f>E17/(1950)</f>
        <v>0</v>
      </c>
      <c r="H17" s="97">
        <f>G17*Rates!B$3</f>
        <v>0</v>
      </c>
      <c r="I17" s="97">
        <f t="shared" si="1"/>
        <v>0</v>
      </c>
      <c r="J17" s="136">
        <f t="shared" si="2"/>
        <v>0</v>
      </c>
      <c r="K17" s="4">
        <f t="shared" si="3"/>
        <v>0</v>
      </c>
      <c r="L17" s="4">
        <f t="shared" si="4"/>
        <v>0</v>
      </c>
      <c r="M17" s="18"/>
      <c r="N17" s="41">
        <f>'Monthly Budget'!K17</f>
        <v>0</v>
      </c>
      <c r="O17" s="41">
        <f t="shared" si="5"/>
        <v>0</v>
      </c>
      <c r="P17" s="81">
        <f t="shared" si="6"/>
        <v>0</v>
      </c>
      <c r="Q17" s="19">
        <f>P17/12</f>
        <v>0</v>
      </c>
      <c r="R17" s="97">
        <f>P17/(1950)</f>
        <v>0</v>
      </c>
      <c r="S17" s="97">
        <f>R17*Rates!C$3</f>
        <v>0</v>
      </c>
      <c r="T17" s="97">
        <f t="shared" si="7"/>
        <v>0</v>
      </c>
      <c r="U17" s="136">
        <f t="shared" si="8"/>
        <v>0</v>
      </c>
      <c r="V17" s="4">
        <f t="shared" si="9"/>
        <v>0</v>
      </c>
      <c r="W17" s="4">
        <f t="shared" si="10"/>
        <v>0</v>
      </c>
      <c r="X17" s="18"/>
      <c r="Y17" s="41">
        <f>'Monthly Budget'!S17</f>
        <v>0</v>
      </c>
      <c r="Z17" s="41">
        <f t="shared" si="11"/>
        <v>0</v>
      </c>
      <c r="AA17" s="81">
        <f t="shared" si="12"/>
        <v>0</v>
      </c>
      <c r="AB17" s="19">
        <f>AA17/12</f>
        <v>0</v>
      </c>
      <c r="AC17" s="97">
        <f>AA17/(1950)</f>
        <v>0</v>
      </c>
      <c r="AD17" s="97">
        <f>AC17*Rates!D$3</f>
        <v>0</v>
      </c>
      <c r="AE17" s="97">
        <f t="shared" si="13"/>
        <v>0</v>
      </c>
      <c r="AF17" s="136">
        <f t="shared" si="14"/>
        <v>0</v>
      </c>
      <c r="AG17" s="4">
        <f t="shared" si="15"/>
        <v>0</v>
      </c>
      <c r="AH17" s="4">
        <f t="shared" si="16"/>
        <v>0</v>
      </c>
      <c r="AI17" s="18"/>
      <c r="AJ17" s="41">
        <f>'Monthly Budget'!AA17</f>
        <v>0</v>
      </c>
      <c r="AK17" s="41">
        <f t="shared" si="17"/>
        <v>0</v>
      </c>
      <c r="AL17" s="81">
        <f t="shared" si="18"/>
        <v>0</v>
      </c>
      <c r="AM17" s="19">
        <f>AL17/12</f>
        <v>0</v>
      </c>
      <c r="AN17" s="97">
        <f>AL17/(1950)</f>
        <v>0</v>
      </c>
      <c r="AO17" s="97">
        <f>AN17*Rates!E$3</f>
        <v>0</v>
      </c>
      <c r="AP17" s="97">
        <f t="shared" si="19"/>
        <v>0</v>
      </c>
      <c r="AQ17" s="136">
        <f t="shared" si="20"/>
        <v>0</v>
      </c>
      <c r="AR17" s="4">
        <f t="shared" si="21"/>
        <v>0</v>
      </c>
      <c r="AS17" s="4">
        <f t="shared" si="22"/>
        <v>0</v>
      </c>
      <c r="AT17" s="18"/>
      <c r="AU17" s="41">
        <f>'Monthly Budget'!AI17</f>
        <v>0</v>
      </c>
      <c r="AV17" s="41">
        <f t="shared" si="23"/>
        <v>0</v>
      </c>
      <c r="AW17" s="81">
        <f t="shared" si="24"/>
        <v>0</v>
      </c>
      <c r="AX17" s="19">
        <f>AW17/12</f>
        <v>0</v>
      </c>
      <c r="AY17" s="97">
        <f>AW17/(1950)</f>
        <v>0</v>
      </c>
      <c r="AZ17" s="97">
        <f>AY17*Rates!F$3</f>
        <v>0</v>
      </c>
      <c r="BA17" s="97">
        <f t="shared" si="25"/>
        <v>0</v>
      </c>
      <c r="BB17" s="136">
        <f t="shared" si="26"/>
        <v>0</v>
      </c>
      <c r="BC17" s="4">
        <f t="shared" si="27"/>
        <v>0</v>
      </c>
      <c r="BD17" s="4">
        <f t="shared" si="28"/>
        <v>0</v>
      </c>
      <c r="BE17" s="18"/>
      <c r="BF17" s="148">
        <f t="shared" si="29"/>
        <v>0</v>
      </c>
    </row>
    <row r="18" spans="1:58" ht="15" customHeight="1" thickTop="1" x14ac:dyDescent="0.6">
      <c r="A18" s="211" t="s">
        <v>0</v>
      </c>
      <c r="B18" s="212"/>
      <c r="C18" s="62"/>
      <c r="D18" s="62"/>
      <c r="E18" s="82"/>
      <c r="F18" s="63"/>
      <c r="G18" s="98"/>
      <c r="H18" s="98"/>
      <c r="I18" s="98"/>
      <c r="J18" s="138">
        <f>ROUND(SUM(J8:J17), 0)</f>
        <v>0</v>
      </c>
      <c r="K18" s="63"/>
      <c r="L18" s="63"/>
      <c r="M18" s="64"/>
      <c r="N18" s="62"/>
      <c r="O18" s="62"/>
      <c r="P18" s="82"/>
      <c r="Q18" s="63"/>
      <c r="R18" s="98"/>
      <c r="S18" s="98"/>
      <c r="T18" s="98"/>
      <c r="U18" s="138">
        <f>ROUND(SUM(U8:U17), 0)</f>
        <v>0</v>
      </c>
      <c r="V18" s="63"/>
      <c r="W18" s="63"/>
      <c r="X18" s="64"/>
      <c r="Y18" s="62"/>
      <c r="Z18" s="62"/>
      <c r="AA18" s="82"/>
      <c r="AB18" s="63"/>
      <c r="AC18" s="98"/>
      <c r="AD18" s="98"/>
      <c r="AE18" s="98"/>
      <c r="AF18" s="138">
        <f>ROUND(SUM(AF8:AF17), 0)</f>
        <v>0</v>
      </c>
      <c r="AG18" s="63"/>
      <c r="AH18" s="63"/>
      <c r="AI18" s="64"/>
      <c r="AJ18" s="62"/>
      <c r="AK18" s="62"/>
      <c r="AL18" s="82"/>
      <c r="AM18" s="63"/>
      <c r="AN18" s="98"/>
      <c r="AO18" s="98"/>
      <c r="AP18" s="98"/>
      <c r="AQ18" s="138">
        <f>ROUND(SUM(AQ8:AQ17), 0)</f>
        <v>0</v>
      </c>
      <c r="AR18" s="63"/>
      <c r="AS18" s="63"/>
      <c r="AT18" s="64"/>
      <c r="AU18" s="62"/>
      <c r="AV18" s="62"/>
      <c r="AW18" s="82"/>
      <c r="AX18" s="63"/>
      <c r="AY18" s="98"/>
      <c r="AZ18" s="98"/>
      <c r="BA18" s="98"/>
      <c r="BB18" s="138">
        <f>ROUND(SUM(BB8:BB17), 0)</f>
        <v>0</v>
      </c>
      <c r="BC18" s="63"/>
      <c r="BD18" s="63"/>
      <c r="BE18" s="64"/>
      <c r="BF18" s="149">
        <f t="shared" si="29"/>
        <v>0</v>
      </c>
    </row>
    <row r="19" spans="1:58" ht="15" customHeight="1" x14ac:dyDescent="0.6">
      <c r="A19" s="216" t="s">
        <v>76</v>
      </c>
      <c r="B19" s="210"/>
      <c r="C19" s="43"/>
      <c r="D19" s="43"/>
      <c r="E19" s="58"/>
      <c r="J19" s="136">
        <f>ROUND(J18*Rates!B3, 0)</f>
        <v>0</v>
      </c>
      <c r="M19" s="18"/>
      <c r="N19" s="43"/>
      <c r="O19" s="43"/>
      <c r="U19" s="136">
        <f>ROUND(U18*Rates!C3, 0)</f>
        <v>0</v>
      </c>
      <c r="X19" s="18"/>
      <c r="Y19" s="43"/>
      <c r="Z19" s="43"/>
      <c r="AF19" s="136">
        <f>ROUND(AF18*Rates!D3, 0)</f>
        <v>0</v>
      </c>
      <c r="AI19" s="18"/>
      <c r="AJ19" s="43"/>
      <c r="AK19" s="43"/>
      <c r="AQ19" s="136">
        <f>ROUND(AQ18*Rates!E3, 0)</f>
        <v>0</v>
      </c>
      <c r="AT19" s="18"/>
      <c r="AU19" s="43"/>
      <c r="AV19" s="43"/>
      <c r="BB19" s="136">
        <f>ROUND(BB18*Rates!F3, 0)</f>
        <v>0</v>
      </c>
      <c r="BE19" s="18"/>
      <c r="BF19" s="148">
        <f t="shared" si="29"/>
        <v>0</v>
      </c>
    </row>
    <row r="20" spans="1:58" ht="15" customHeight="1" x14ac:dyDescent="0.6">
      <c r="A20" s="209" t="s">
        <v>2</v>
      </c>
      <c r="B20" s="210"/>
      <c r="C20" s="43"/>
      <c r="D20" s="43"/>
      <c r="E20" s="58"/>
      <c r="J20" s="136">
        <f>ROUND(SUM(J18:J19), 0)</f>
        <v>0</v>
      </c>
      <c r="M20" s="18"/>
      <c r="N20" s="43"/>
      <c r="O20" s="43"/>
      <c r="U20" s="136">
        <f>ROUND(SUM(U18:U19), 0)</f>
        <v>0</v>
      </c>
      <c r="X20" s="18"/>
      <c r="Y20" s="43"/>
      <c r="Z20" s="43"/>
      <c r="AF20" s="136">
        <f>ROUND(SUM(AF18:AF19), 0)</f>
        <v>0</v>
      </c>
      <c r="AI20" s="18"/>
      <c r="AJ20" s="43"/>
      <c r="AK20" s="43"/>
      <c r="AQ20" s="136">
        <f>ROUND(SUM(AQ18:AQ19), 0)</f>
        <v>0</v>
      </c>
      <c r="AT20" s="18"/>
      <c r="AU20" s="43"/>
      <c r="AV20" s="43"/>
      <c r="BB20" s="136">
        <f>ROUND(SUM(BB18:BB19), 0)</f>
        <v>0</v>
      </c>
      <c r="BE20" s="18"/>
      <c r="BF20" s="148">
        <f t="shared" si="29"/>
        <v>0</v>
      </c>
    </row>
    <row r="21" spans="1:58" ht="15" customHeight="1" x14ac:dyDescent="0.6">
      <c r="A21" s="23"/>
      <c r="C21" s="43"/>
      <c r="D21" s="43"/>
      <c r="E21" s="58"/>
      <c r="M21" s="18"/>
      <c r="N21" s="43"/>
      <c r="O21" s="43"/>
      <c r="X21" s="18"/>
      <c r="Y21" s="43"/>
      <c r="Z21" s="43"/>
      <c r="AI21" s="18"/>
      <c r="AJ21" s="43"/>
      <c r="AK21" s="43"/>
      <c r="AT21" s="18"/>
      <c r="AU21" s="43"/>
      <c r="AV21" s="43"/>
      <c r="BE21" s="18"/>
      <c r="BF21" s="148"/>
    </row>
    <row r="22" spans="1:58" ht="15" customHeight="1" x14ac:dyDescent="0.7">
      <c r="A22" s="222" t="s">
        <v>15</v>
      </c>
      <c r="B22" s="223"/>
      <c r="C22" s="43"/>
      <c r="D22" s="43"/>
      <c r="E22" s="58"/>
      <c r="M22" s="18"/>
      <c r="N22" s="43"/>
      <c r="O22" s="43"/>
      <c r="X22" s="18"/>
      <c r="Y22" s="43"/>
      <c r="Z22" s="43"/>
      <c r="AI22" s="18"/>
      <c r="AJ22" s="43"/>
      <c r="AK22" s="43"/>
      <c r="AT22" s="18"/>
      <c r="AU22" s="43"/>
      <c r="AV22" s="43"/>
      <c r="BE22" s="18"/>
      <c r="BF22" s="148"/>
    </row>
    <row r="23" spans="1:58" s="6" customFormat="1" ht="15" customHeight="1" x14ac:dyDescent="0.6">
      <c r="A23" s="216" t="str">
        <f>'Monthly Budget'!A23</f>
        <v>Martinez Machain, Carla</v>
      </c>
      <c r="B23" s="217"/>
      <c r="C23" s="12">
        <f>'Monthly Budget'!C23</f>
        <v>2</v>
      </c>
      <c r="D23" s="41">
        <f>C23/12*1950</f>
        <v>325</v>
      </c>
      <c r="E23" s="81">
        <f>'Monthly Budget'!E23</f>
        <v>49733.333333333336</v>
      </c>
      <c r="F23" s="19">
        <f>E23/3</f>
        <v>16577.777777777777</v>
      </c>
      <c r="G23" s="97">
        <f>E23/(1950*0.25)</f>
        <v>102.01709401709402</v>
      </c>
      <c r="H23" s="97">
        <f>G23*Rates!B$4</f>
        <v>14.282393162393165</v>
      </c>
      <c r="I23" s="97">
        <f>G23+H23</f>
        <v>116.29948717948719</v>
      </c>
      <c r="J23" s="136">
        <f>ROUND(D23*G23, 0)</f>
        <v>33156</v>
      </c>
      <c r="K23" s="4">
        <f>D23*H23</f>
        <v>4641.7777777777783</v>
      </c>
      <c r="L23" s="4">
        <f>J23+K23</f>
        <v>37797.777777777781</v>
      </c>
      <c r="M23" s="18"/>
      <c r="N23" s="12">
        <f>'Monthly Budget'!K23</f>
        <v>0</v>
      </c>
      <c r="O23" s="41">
        <f>N23/12*1950</f>
        <v>0</v>
      </c>
      <c r="P23" s="81">
        <f>E23*1.02</f>
        <v>50728</v>
      </c>
      <c r="Q23" s="19">
        <f>P23/3</f>
        <v>16909.333333333332</v>
      </c>
      <c r="R23" s="97">
        <f>P23/(1950*0.25)</f>
        <v>104.05743589743589</v>
      </c>
      <c r="S23" s="97">
        <f>R23*Rates!C$4</f>
        <v>15.088328205128203</v>
      </c>
      <c r="T23" s="97">
        <f>R23+S23</f>
        <v>119.1457641025641</v>
      </c>
      <c r="U23" s="136">
        <f>ROUND(Q23*N23, 0)</f>
        <v>0</v>
      </c>
      <c r="V23" s="4">
        <f>ROUND(O23*S23, 0)</f>
        <v>0</v>
      </c>
      <c r="W23" s="4">
        <f>U23+V23</f>
        <v>0</v>
      </c>
      <c r="X23" s="18"/>
      <c r="Y23" s="12">
        <f>'Monthly Budget'!S23</f>
        <v>0</v>
      </c>
      <c r="Z23" s="41">
        <f>Y23/12*1950</f>
        <v>0</v>
      </c>
      <c r="AA23" s="81">
        <f>P23*1.02</f>
        <v>51742.559999999998</v>
      </c>
      <c r="AB23" s="19">
        <f>AA23/3</f>
        <v>17247.52</v>
      </c>
      <c r="AC23" s="97">
        <f>AA23/(1950*0.25)</f>
        <v>106.13858461538462</v>
      </c>
      <c r="AD23" s="97">
        <f>AC23*Rates!D$4</f>
        <v>15.390094769230767</v>
      </c>
      <c r="AE23" s="97">
        <f>AC23+AD23</f>
        <v>121.52867938461539</v>
      </c>
      <c r="AF23" s="136">
        <f>ROUND(AB23*Y23, 0)</f>
        <v>0</v>
      </c>
      <c r="AG23" s="4">
        <f>ROUND(Z23*AD23, 0)</f>
        <v>0</v>
      </c>
      <c r="AH23" s="4">
        <f>AF23+AG23</f>
        <v>0</v>
      </c>
      <c r="AI23" s="18"/>
      <c r="AJ23" s="12">
        <f>'Monthly Budget'!AA23</f>
        <v>0</v>
      </c>
      <c r="AK23" s="41">
        <f>AJ23/12*1950</f>
        <v>0</v>
      </c>
      <c r="AL23" s="81">
        <f>AA23*1.02</f>
        <v>52777.411199999995</v>
      </c>
      <c r="AM23" s="19">
        <f>AL23/3</f>
        <v>17592.470399999998</v>
      </c>
      <c r="AN23" s="97">
        <f>AL23/(1950*0.25)</f>
        <v>108.2613563076923</v>
      </c>
      <c r="AO23" s="97">
        <f>AN23*Rates!E$4</f>
        <v>15.697896664615381</v>
      </c>
      <c r="AP23" s="97">
        <f>AN23+AO23</f>
        <v>123.95925297230768</v>
      </c>
      <c r="AQ23" s="136">
        <f>ROUND(AM23*AJ23, 0)</f>
        <v>0</v>
      </c>
      <c r="AR23" s="4">
        <f>ROUND(AK23*AO23, 0)</f>
        <v>0</v>
      </c>
      <c r="AS23" s="4">
        <f>AQ23+AR23</f>
        <v>0</v>
      </c>
      <c r="AT23" s="18"/>
      <c r="AU23" s="12">
        <f>'Monthly Budget'!AI23</f>
        <v>0</v>
      </c>
      <c r="AV23" s="41">
        <f>AU23/12*1950</f>
        <v>0</v>
      </c>
      <c r="AW23" s="81">
        <f>AL23*1.02</f>
        <v>53832.959423999993</v>
      </c>
      <c r="AX23" s="19">
        <f>AW23/3</f>
        <v>17944.319807999997</v>
      </c>
      <c r="AY23" s="97">
        <f>AW23/(1950*0.25)</f>
        <v>110.42658343384613</v>
      </c>
      <c r="AZ23" s="97">
        <f>AY23*Rates!F$4</f>
        <v>16.011854597907689</v>
      </c>
      <c r="BA23" s="97">
        <f>AY23+AZ23</f>
        <v>126.43843803175382</v>
      </c>
      <c r="BB23" s="136">
        <f>ROUND(AX23*AU23, 0)</f>
        <v>0</v>
      </c>
      <c r="BC23" s="4">
        <f>ROUND(AV23*AZ23, 0)</f>
        <v>0</v>
      </c>
      <c r="BD23" s="4">
        <f>BB23+BC23</f>
        <v>0</v>
      </c>
      <c r="BE23" s="18"/>
      <c r="BF23" s="148">
        <f t="shared" ref="BF23:BF30" si="30">J23+U23+AF23+AQ23+BB23</f>
        <v>33156</v>
      </c>
    </row>
    <row r="24" spans="1:58" s="6" customFormat="1" ht="15" customHeight="1" x14ac:dyDescent="0.6">
      <c r="A24" s="216" t="str">
        <f>'Monthly Budget'!A24</f>
        <v>Name</v>
      </c>
      <c r="B24" s="217"/>
      <c r="C24" s="12">
        <f>'Monthly Budget'!C24</f>
        <v>0</v>
      </c>
      <c r="D24" s="41">
        <f>C24/12*1950</f>
        <v>0</v>
      </c>
      <c r="E24" s="81">
        <f>'Monthly Budget'!E24</f>
        <v>0</v>
      </c>
      <c r="F24" s="19">
        <f>E24/3</f>
        <v>0</v>
      </c>
      <c r="G24" s="97">
        <f>E24/(1950*0.25)</f>
        <v>0</v>
      </c>
      <c r="H24" s="97">
        <f>G24*Rates!B$4</f>
        <v>0</v>
      </c>
      <c r="I24" s="97">
        <f>G24+H24</f>
        <v>0</v>
      </c>
      <c r="J24" s="136">
        <f>ROUND(D24*G24, 0)</f>
        <v>0</v>
      </c>
      <c r="K24" s="4">
        <f>D24*H24</f>
        <v>0</v>
      </c>
      <c r="L24" s="4">
        <f>J24+K24</f>
        <v>0</v>
      </c>
      <c r="M24" s="18"/>
      <c r="N24" s="12">
        <f>'Monthly Budget'!K24</f>
        <v>0</v>
      </c>
      <c r="O24" s="41">
        <f>N24/12*1950</f>
        <v>0</v>
      </c>
      <c r="P24" s="81">
        <f>E24*1.02</f>
        <v>0</v>
      </c>
      <c r="Q24" s="19">
        <f>P24/3</f>
        <v>0</v>
      </c>
      <c r="R24" s="97">
        <f>P24/(1950*0.25)</f>
        <v>0</v>
      </c>
      <c r="S24" s="97">
        <f>R24*Rates!C$4</f>
        <v>0</v>
      </c>
      <c r="T24" s="97">
        <f>R24+S24</f>
        <v>0</v>
      </c>
      <c r="U24" s="136">
        <f>ROUND(Q24*N24, 0)</f>
        <v>0</v>
      </c>
      <c r="V24" s="4">
        <f>ROUND(O24*S24, 0)</f>
        <v>0</v>
      </c>
      <c r="W24" s="4">
        <f>U24+V24</f>
        <v>0</v>
      </c>
      <c r="X24" s="18"/>
      <c r="Y24" s="12">
        <f>'Monthly Budget'!S24</f>
        <v>0</v>
      </c>
      <c r="Z24" s="41">
        <f>Y24/12*1950</f>
        <v>0</v>
      </c>
      <c r="AA24" s="81">
        <f>P24*1.02</f>
        <v>0</v>
      </c>
      <c r="AB24" s="19">
        <f>AA24/3</f>
        <v>0</v>
      </c>
      <c r="AC24" s="97">
        <f>AA24/(1950*0.25)</f>
        <v>0</v>
      </c>
      <c r="AD24" s="97">
        <f>AC24*Rates!D$4</f>
        <v>0</v>
      </c>
      <c r="AE24" s="97">
        <f>AC24+AD24</f>
        <v>0</v>
      </c>
      <c r="AF24" s="136">
        <f>ROUND(AB24*Y24, 0)</f>
        <v>0</v>
      </c>
      <c r="AG24" s="4">
        <f>ROUND(Z24*AD24, 0)</f>
        <v>0</v>
      </c>
      <c r="AH24" s="4">
        <f>AF24+AG24</f>
        <v>0</v>
      </c>
      <c r="AI24" s="18"/>
      <c r="AJ24" s="12">
        <f>'Monthly Budget'!AA24</f>
        <v>0</v>
      </c>
      <c r="AK24" s="41">
        <f>AJ24/12*1950</f>
        <v>0</v>
      </c>
      <c r="AL24" s="81">
        <f>AA24*1.02</f>
        <v>0</v>
      </c>
      <c r="AM24" s="19">
        <f>AL24/3</f>
        <v>0</v>
      </c>
      <c r="AN24" s="97">
        <f>AL24/(1950*0.25)</f>
        <v>0</v>
      </c>
      <c r="AO24" s="97">
        <f>AN24*Rates!E$4</f>
        <v>0</v>
      </c>
      <c r="AP24" s="97">
        <f>AN24+AO24</f>
        <v>0</v>
      </c>
      <c r="AQ24" s="136">
        <f>ROUND(AM24*AJ24, 0)</f>
        <v>0</v>
      </c>
      <c r="AR24" s="4">
        <f>ROUND(AK24*AO24, 0)</f>
        <v>0</v>
      </c>
      <c r="AS24" s="4">
        <f>AQ24+AR24</f>
        <v>0</v>
      </c>
      <c r="AT24" s="18"/>
      <c r="AU24" s="12">
        <f>'Monthly Budget'!AI24</f>
        <v>0</v>
      </c>
      <c r="AV24" s="41">
        <f>AU24/12*1950</f>
        <v>0</v>
      </c>
      <c r="AW24" s="81">
        <f>AL24*1.02</f>
        <v>0</v>
      </c>
      <c r="AX24" s="19">
        <f>AW24/3</f>
        <v>0</v>
      </c>
      <c r="AY24" s="97">
        <f>AW24/(1950*0.25)</f>
        <v>0</v>
      </c>
      <c r="AZ24" s="97">
        <f>AY24*Rates!F$4</f>
        <v>0</v>
      </c>
      <c r="BA24" s="97">
        <f>AY24+AZ24</f>
        <v>0</v>
      </c>
      <c r="BB24" s="136">
        <f>ROUND(AX24*AU24, 0)</f>
        <v>0</v>
      </c>
      <c r="BC24" s="4">
        <f>ROUND(AV24*AZ24, 0)</f>
        <v>0</v>
      </c>
      <c r="BD24" s="4">
        <f>BB24+BC24</f>
        <v>0</v>
      </c>
      <c r="BE24" s="18"/>
      <c r="BF24" s="148">
        <f t="shared" si="30"/>
        <v>0</v>
      </c>
    </row>
    <row r="25" spans="1:58" s="6" customFormat="1" ht="15" customHeight="1" x14ac:dyDescent="0.6">
      <c r="A25" s="216" t="str">
        <f>'Monthly Budget'!A25</f>
        <v>Name</v>
      </c>
      <c r="B25" s="217"/>
      <c r="C25" s="12">
        <f>'Monthly Budget'!C25</f>
        <v>0</v>
      </c>
      <c r="D25" s="41">
        <f>C25/12*1950</f>
        <v>0</v>
      </c>
      <c r="E25" s="81">
        <f>'Monthly Budget'!E25</f>
        <v>0</v>
      </c>
      <c r="F25" s="19">
        <f>E25/3</f>
        <v>0</v>
      </c>
      <c r="G25" s="97">
        <f>E25/(1950*0.25)</f>
        <v>0</v>
      </c>
      <c r="H25" s="97">
        <f>G25*Rates!B$4</f>
        <v>0</v>
      </c>
      <c r="I25" s="97">
        <f>G25+H25</f>
        <v>0</v>
      </c>
      <c r="J25" s="136">
        <f>ROUND(D25*G25, 0)</f>
        <v>0</v>
      </c>
      <c r="K25" s="4">
        <f>D25*H25</f>
        <v>0</v>
      </c>
      <c r="L25" s="4">
        <f>J25+K25</f>
        <v>0</v>
      </c>
      <c r="M25" s="18"/>
      <c r="N25" s="12">
        <f>'Monthly Budget'!K25</f>
        <v>0</v>
      </c>
      <c r="O25" s="41">
        <f>N25/12*1950</f>
        <v>0</v>
      </c>
      <c r="P25" s="81">
        <f>E25*1.02</f>
        <v>0</v>
      </c>
      <c r="Q25" s="19">
        <f>P25/3</f>
        <v>0</v>
      </c>
      <c r="R25" s="97">
        <f>P25/(1950*0.25)</f>
        <v>0</v>
      </c>
      <c r="S25" s="97">
        <f>R25*Rates!C$4</f>
        <v>0</v>
      </c>
      <c r="T25" s="97">
        <f>R25+S25</f>
        <v>0</v>
      </c>
      <c r="U25" s="136">
        <f>ROUND(Q25*N25, 0)</f>
        <v>0</v>
      </c>
      <c r="V25" s="4">
        <f>ROUND(O25*S25, 0)</f>
        <v>0</v>
      </c>
      <c r="W25" s="4">
        <f>U25+V25</f>
        <v>0</v>
      </c>
      <c r="X25" s="18"/>
      <c r="Y25" s="12">
        <f>'Monthly Budget'!S25</f>
        <v>0</v>
      </c>
      <c r="Z25" s="41">
        <f>Y25/12*1950</f>
        <v>0</v>
      </c>
      <c r="AA25" s="81">
        <f>P25*1.02</f>
        <v>0</v>
      </c>
      <c r="AB25" s="19">
        <f>AA25/3</f>
        <v>0</v>
      </c>
      <c r="AC25" s="97">
        <f>AA25/(1950*0.25)</f>
        <v>0</v>
      </c>
      <c r="AD25" s="97">
        <f>AC25*Rates!D$4</f>
        <v>0</v>
      </c>
      <c r="AE25" s="97">
        <f>AC25+AD25</f>
        <v>0</v>
      </c>
      <c r="AF25" s="136">
        <f>ROUND(AB25*Y25, 0)</f>
        <v>0</v>
      </c>
      <c r="AG25" s="4">
        <f>ROUND(Z25*AD25, 0)</f>
        <v>0</v>
      </c>
      <c r="AH25" s="4">
        <f>AF25+AG25</f>
        <v>0</v>
      </c>
      <c r="AI25" s="18"/>
      <c r="AJ25" s="12">
        <f>'Monthly Budget'!AA25</f>
        <v>0</v>
      </c>
      <c r="AK25" s="41">
        <f>AJ25/12*1950</f>
        <v>0</v>
      </c>
      <c r="AL25" s="81">
        <f>AA25*1.02</f>
        <v>0</v>
      </c>
      <c r="AM25" s="19">
        <f>AL25/3</f>
        <v>0</v>
      </c>
      <c r="AN25" s="97">
        <f>AL25/(1950*0.25)</f>
        <v>0</v>
      </c>
      <c r="AO25" s="97">
        <f>AN25*Rates!E$4</f>
        <v>0</v>
      </c>
      <c r="AP25" s="97">
        <f>AN25+AO25</f>
        <v>0</v>
      </c>
      <c r="AQ25" s="136">
        <f>ROUND(AM25*AJ25, 0)</f>
        <v>0</v>
      </c>
      <c r="AR25" s="4">
        <f>ROUND(AK25*AO25, 0)</f>
        <v>0</v>
      </c>
      <c r="AS25" s="4">
        <f>AQ25+AR25</f>
        <v>0</v>
      </c>
      <c r="AT25" s="18"/>
      <c r="AU25" s="12">
        <f>'Monthly Budget'!AI25</f>
        <v>0</v>
      </c>
      <c r="AV25" s="41">
        <f>AU25/12*1950</f>
        <v>0</v>
      </c>
      <c r="AW25" s="81">
        <f>AL25*1.02</f>
        <v>0</v>
      </c>
      <c r="AX25" s="19">
        <f>AW25/3</f>
        <v>0</v>
      </c>
      <c r="AY25" s="97">
        <f>AW25/(1950*0.25)</f>
        <v>0</v>
      </c>
      <c r="AZ25" s="97">
        <f>AY25*Rates!F$4</f>
        <v>0</v>
      </c>
      <c r="BA25" s="97">
        <f>AY25+AZ25</f>
        <v>0</v>
      </c>
      <c r="BB25" s="136">
        <f>ROUND(AX25*AU25, 0)</f>
        <v>0</v>
      </c>
      <c r="BC25" s="4">
        <f>ROUND(AV25*AZ25, 0)</f>
        <v>0</v>
      </c>
      <c r="BD25" s="4">
        <f>BB25+BC25</f>
        <v>0</v>
      </c>
      <c r="BE25" s="18"/>
      <c r="BF25" s="148">
        <f t="shared" si="30"/>
        <v>0</v>
      </c>
    </row>
    <row r="26" spans="1:58" s="6" customFormat="1" ht="15" customHeight="1" x14ac:dyDescent="0.6">
      <c r="A26" s="216" t="str">
        <f>'Monthly Budget'!A26</f>
        <v>Name</v>
      </c>
      <c r="B26" s="217"/>
      <c r="C26" s="12">
        <f>'Monthly Budget'!C26</f>
        <v>0</v>
      </c>
      <c r="D26" s="41">
        <f>C26/12*1950</f>
        <v>0</v>
      </c>
      <c r="E26" s="81">
        <f>'Monthly Budget'!E26</f>
        <v>0</v>
      </c>
      <c r="F26" s="19">
        <f>E26/3</f>
        <v>0</v>
      </c>
      <c r="G26" s="97">
        <f>E26/(1950*0.25)</f>
        <v>0</v>
      </c>
      <c r="H26" s="97">
        <f>G26*Rates!B$4</f>
        <v>0</v>
      </c>
      <c r="I26" s="97">
        <f>G26+H26</f>
        <v>0</v>
      </c>
      <c r="J26" s="136">
        <f>ROUND(D26*G26, 0)</f>
        <v>0</v>
      </c>
      <c r="K26" s="4">
        <f>D26*H26</f>
        <v>0</v>
      </c>
      <c r="L26" s="4">
        <f>J26+K26</f>
        <v>0</v>
      </c>
      <c r="M26" s="18"/>
      <c r="N26" s="12">
        <f>'Monthly Budget'!K26</f>
        <v>0</v>
      </c>
      <c r="O26" s="41">
        <f>N26/12*1950</f>
        <v>0</v>
      </c>
      <c r="P26" s="81">
        <f>E26*1.02</f>
        <v>0</v>
      </c>
      <c r="Q26" s="19">
        <f>P26/3</f>
        <v>0</v>
      </c>
      <c r="R26" s="97">
        <f>P26/(1950*0.25)</f>
        <v>0</v>
      </c>
      <c r="S26" s="97">
        <f>R26*Rates!C$4</f>
        <v>0</v>
      </c>
      <c r="T26" s="97">
        <f>R26+S26</f>
        <v>0</v>
      </c>
      <c r="U26" s="136">
        <f>ROUND(Q26*N26, 0)</f>
        <v>0</v>
      </c>
      <c r="V26" s="4">
        <f>ROUND(O26*S26, 0)</f>
        <v>0</v>
      </c>
      <c r="W26" s="4">
        <f>U26+V26</f>
        <v>0</v>
      </c>
      <c r="X26" s="18"/>
      <c r="Y26" s="12">
        <f>'Monthly Budget'!S26</f>
        <v>0</v>
      </c>
      <c r="Z26" s="41">
        <f>Y26/12*1950</f>
        <v>0</v>
      </c>
      <c r="AA26" s="81">
        <f>P26*1.02</f>
        <v>0</v>
      </c>
      <c r="AB26" s="19">
        <f>AA26/3</f>
        <v>0</v>
      </c>
      <c r="AC26" s="97">
        <f>AA26/(1950*0.25)</f>
        <v>0</v>
      </c>
      <c r="AD26" s="97">
        <f>AC26*Rates!D$4</f>
        <v>0</v>
      </c>
      <c r="AE26" s="97">
        <f>AC26+AD26</f>
        <v>0</v>
      </c>
      <c r="AF26" s="136">
        <f>ROUND(AB26*Y26, 0)</f>
        <v>0</v>
      </c>
      <c r="AG26" s="4">
        <f>ROUND(Z26*AD26, 0)</f>
        <v>0</v>
      </c>
      <c r="AH26" s="4">
        <f>AF26+AG26</f>
        <v>0</v>
      </c>
      <c r="AI26" s="18"/>
      <c r="AJ26" s="12">
        <f>'Monthly Budget'!AA26</f>
        <v>0</v>
      </c>
      <c r="AK26" s="41">
        <f>AJ26/12*1950</f>
        <v>0</v>
      </c>
      <c r="AL26" s="81">
        <f>AA26*1.02</f>
        <v>0</v>
      </c>
      <c r="AM26" s="19">
        <f>AL26/3</f>
        <v>0</v>
      </c>
      <c r="AN26" s="97">
        <f>AL26/(1950*0.25)</f>
        <v>0</v>
      </c>
      <c r="AO26" s="97">
        <f>AN26*Rates!E$4</f>
        <v>0</v>
      </c>
      <c r="AP26" s="97">
        <f>AN26+AO26</f>
        <v>0</v>
      </c>
      <c r="AQ26" s="136">
        <f>ROUND(AM26*AJ26, 0)</f>
        <v>0</v>
      </c>
      <c r="AR26" s="4">
        <f>ROUND(AK26*AO26, 0)</f>
        <v>0</v>
      </c>
      <c r="AS26" s="4">
        <f>AQ26+AR26</f>
        <v>0</v>
      </c>
      <c r="AT26" s="18"/>
      <c r="AU26" s="12">
        <f>'Monthly Budget'!AI26</f>
        <v>0</v>
      </c>
      <c r="AV26" s="41">
        <f>AU26/12*1950</f>
        <v>0</v>
      </c>
      <c r="AW26" s="81">
        <f>AL26*1.02</f>
        <v>0</v>
      </c>
      <c r="AX26" s="19">
        <f>AW26/3</f>
        <v>0</v>
      </c>
      <c r="AY26" s="97">
        <f>AW26/(1950*0.25)</f>
        <v>0</v>
      </c>
      <c r="AZ26" s="97">
        <f>AY26*Rates!F$4</f>
        <v>0</v>
      </c>
      <c r="BA26" s="97">
        <f>AY26+AZ26</f>
        <v>0</v>
      </c>
      <c r="BB26" s="136">
        <f>ROUND(AX26*AU26, 0)</f>
        <v>0</v>
      </c>
      <c r="BC26" s="4">
        <f>ROUND(AV26*AZ26, 0)</f>
        <v>0</v>
      </c>
      <c r="BD26" s="4">
        <f>BB26+BC26</f>
        <v>0</v>
      </c>
      <c r="BE26" s="18"/>
      <c r="BF26" s="148">
        <f t="shared" si="30"/>
        <v>0</v>
      </c>
    </row>
    <row r="27" spans="1:58" s="6" customFormat="1" ht="15" customHeight="1" thickBot="1" x14ac:dyDescent="0.75">
      <c r="A27" s="232" t="str">
        <f>'Monthly Budget'!A27</f>
        <v>Name</v>
      </c>
      <c r="B27" s="233"/>
      <c r="C27" s="12">
        <f>'Monthly Budget'!C27</f>
        <v>0</v>
      </c>
      <c r="D27" s="41">
        <f>C27/12*1950</f>
        <v>0</v>
      </c>
      <c r="E27" s="81">
        <f>'Monthly Budget'!E27</f>
        <v>0</v>
      </c>
      <c r="F27" s="19">
        <f>E27/3</f>
        <v>0</v>
      </c>
      <c r="G27" s="97">
        <f>E27/(1950*0.25)</f>
        <v>0</v>
      </c>
      <c r="H27" s="97">
        <f>G27*Rates!B$4</f>
        <v>0</v>
      </c>
      <c r="I27" s="97">
        <f>G27+H27</f>
        <v>0</v>
      </c>
      <c r="J27" s="136">
        <f>ROUND(D27*G27, 0)</f>
        <v>0</v>
      </c>
      <c r="K27" s="4">
        <f>D27*H27</f>
        <v>0</v>
      </c>
      <c r="L27" s="4">
        <f>J27+K27</f>
        <v>0</v>
      </c>
      <c r="M27" s="18"/>
      <c r="N27" s="12">
        <f>'Monthly Budget'!K27</f>
        <v>0</v>
      </c>
      <c r="O27" s="41">
        <f>N27/12*1950</f>
        <v>0</v>
      </c>
      <c r="P27" s="81">
        <f>E27*1.02</f>
        <v>0</v>
      </c>
      <c r="Q27" s="19">
        <f>P27/3</f>
        <v>0</v>
      </c>
      <c r="R27" s="97">
        <f>P27/(1950*0.25)</f>
        <v>0</v>
      </c>
      <c r="S27" s="97">
        <f>R27*Rates!C$4</f>
        <v>0</v>
      </c>
      <c r="T27" s="97">
        <f>R27+S27</f>
        <v>0</v>
      </c>
      <c r="U27" s="136">
        <f>ROUND(Q27*N27, 0)</f>
        <v>0</v>
      </c>
      <c r="V27" s="4">
        <f>ROUND(O27*S27, 0)</f>
        <v>0</v>
      </c>
      <c r="W27" s="4">
        <f>U27+V27</f>
        <v>0</v>
      </c>
      <c r="X27" s="18"/>
      <c r="Y27" s="12">
        <f>'Monthly Budget'!S27</f>
        <v>0</v>
      </c>
      <c r="Z27" s="41">
        <f>Y27/12*1950</f>
        <v>0</v>
      </c>
      <c r="AA27" s="81">
        <f>P27*1.02</f>
        <v>0</v>
      </c>
      <c r="AB27" s="19">
        <f>AA27/3</f>
        <v>0</v>
      </c>
      <c r="AC27" s="97">
        <f>AA27/(1950*0.25)</f>
        <v>0</v>
      </c>
      <c r="AD27" s="97">
        <f>AC27*Rates!D$4</f>
        <v>0</v>
      </c>
      <c r="AE27" s="97">
        <f>AC27+AD27</f>
        <v>0</v>
      </c>
      <c r="AF27" s="136">
        <f>ROUND(AB27*Y27, 0)</f>
        <v>0</v>
      </c>
      <c r="AG27" s="4">
        <f>ROUND(Z27*AD27, 0)</f>
        <v>0</v>
      </c>
      <c r="AH27" s="4">
        <f>AF27+AG27</f>
        <v>0</v>
      </c>
      <c r="AI27" s="18"/>
      <c r="AJ27" s="12">
        <f>'Monthly Budget'!AA27</f>
        <v>0</v>
      </c>
      <c r="AK27" s="41">
        <f>AJ27/12*1950</f>
        <v>0</v>
      </c>
      <c r="AL27" s="81">
        <f>AA27*1.02</f>
        <v>0</v>
      </c>
      <c r="AM27" s="19">
        <f>AL27/3</f>
        <v>0</v>
      </c>
      <c r="AN27" s="97">
        <f>AL27/(1950*0.25)</f>
        <v>0</v>
      </c>
      <c r="AO27" s="97">
        <f>AN27*Rates!E$4</f>
        <v>0</v>
      </c>
      <c r="AP27" s="97">
        <f>AN27+AO27</f>
        <v>0</v>
      </c>
      <c r="AQ27" s="136">
        <f>ROUND(AM27*AJ27, 0)</f>
        <v>0</v>
      </c>
      <c r="AR27" s="4">
        <f>ROUND(AK27*AO27, 0)</f>
        <v>0</v>
      </c>
      <c r="AS27" s="4">
        <f>AQ27+AR27</f>
        <v>0</v>
      </c>
      <c r="AT27" s="18"/>
      <c r="AU27" s="12">
        <f>'Monthly Budget'!AI27</f>
        <v>0</v>
      </c>
      <c r="AV27" s="41">
        <f>AU27/12*1950</f>
        <v>0</v>
      </c>
      <c r="AW27" s="81">
        <f>AL27*1.02</f>
        <v>0</v>
      </c>
      <c r="AX27" s="19">
        <f>AW27/3</f>
        <v>0</v>
      </c>
      <c r="AY27" s="97">
        <f>AW27/(1950*0.25)</f>
        <v>0</v>
      </c>
      <c r="AZ27" s="97">
        <f>AY27*Rates!F$4</f>
        <v>0</v>
      </c>
      <c r="BA27" s="97">
        <f>AY27+AZ27</f>
        <v>0</v>
      </c>
      <c r="BB27" s="136">
        <f>ROUND(AX27*AU27, 0)</f>
        <v>0</v>
      </c>
      <c r="BC27" s="4">
        <f>ROUND(AV27*AZ27, 0)</f>
        <v>0</v>
      </c>
      <c r="BD27" s="4">
        <f>BB27+BC27</f>
        <v>0</v>
      </c>
      <c r="BE27" s="18"/>
      <c r="BF27" s="148">
        <f t="shared" si="30"/>
        <v>0</v>
      </c>
    </row>
    <row r="28" spans="1:58" ht="15" customHeight="1" thickTop="1" x14ac:dyDescent="0.6">
      <c r="A28" s="211" t="s">
        <v>0</v>
      </c>
      <c r="B28" s="212"/>
      <c r="C28" s="62"/>
      <c r="D28" s="62"/>
      <c r="E28" s="82"/>
      <c r="F28" s="63"/>
      <c r="G28" s="98"/>
      <c r="H28" s="98"/>
      <c r="I28" s="98"/>
      <c r="J28" s="138">
        <f>ROUND(SUM(J23:J27), 0)</f>
        <v>33156</v>
      </c>
      <c r="K28" s="63"/>
      <c r="L28" s="63"/>
      <c r="M28" s="64"/>
      <c r="N28" s="62"/>
      <c r="O28" s="62"/>
      <c r="P28" s="82"/>
      <c r="Q28" s="63"/>
      <c r="R28" s="98"/>
      <c r="S28" s="98"/>
      <c r="T28" s="98"/>
      <c r="U28" s="138">
        <f>ROUND(SUM(U23:U27), 0)</f>
        <v>0</v>
      </c>
      <c r="V28" s="63"/>
      <c r="W28" s="63"/>
      <c r="X28" s="64"/>
      <c r="Y28" s="62"/>
      <c r="Z28" s="62"/>
      <c r="AA28" s="82"/>
      <c r="AB28" s="63"/>
      <c r="AC28" s="98"/>
      <c r="AD28" s="98"/>
      <c r="AE28" s="98"/>
      <c r="AF28" s="138">
        <f>ROUND(SUM(AF23:AF27), 0)</f>
        <v>0</v>
      </c>
      <c r="AG28" s="63"/>
      <c r="AH28" s="63"/>
      <c r="AI28" s="64"/>
      <c r="AJ28" s="62"/>
      <c r="AK28" s="62"/>
      <c r="AL28" s="82"/>
      <c r="AM28" s="63"/>
      <c r="AN28" s="98"/>
      <c r="AO28" s="98"/>
      <c r="AP28" s="98"/>
      <c r="AQ28" s="138">
        <f>ROUND(SUM(AQ23:AQ27), 0)</f>
        <v>0</v>
      </c>
      <c r="AR28" s="63"/>
      <c r="AS28" s="63"/>
      <c r="AT28" s="64"/>
      <c r="AU28" s="62"/>
      <c r="AV28" s="62"/>
      <c r="AW28" s="82"/>
      <c r="AX28" s="63"/>
      <c r="AY28" s="98"/>
      <c r="AZ28" s="98"/>
      <c r="BA28" s="98"/>
      <c r="BB28" s="138">
        <f>ROUND(SUM(BB23:BB27), 0)</f>
        <v>0</v>
      </c>
      <c r="BC28" s="63"/>
      <c r="BD28" s="63"/>
      <c r="BE28" s="64"/>
      <c r="BF28" s="149">
        <f t="shared" si="30"/>
        <v>33156</v>
      </c>
    </row>
    <row r="29" spans="1:58" ht="15" customHeight="1" x14ac:dyDescent="0.6">
      <c r="A29" s="216" t="s">
        <v>76</v>
      </c>
      <c r="B29" s="210"/>
      <c r="C29" s="43"/>
      <c r="D29" s="43"/>
      <c r="E29" s="58"/>
      <c r="J29" s="136">
        <f>ROUND(J28*Rates!B4, 0)</f>
        <v>4642</v>
      </c>
      <c r="M29" s="18"/>
      <c r="N29" s="43"/>
      <c r="O29" s="43"/>
      <c r="U29" s="136">
        <f>ROUND(U28*Rates!C4, 0)</f>
        <v>0</v>
      </c>
      <c r="X29" s="18"/>
      <c r="Y29" s="43"/>
      <c r="Z29" s="43"/>
      <c r="AF29" s="136">
        <f>ROUND(AF28*Rates!D4, 0)</f>
        <v>0</v>
      </c>
      <c r="AI29" s="18"/>
      <c r="AJ29" s="43"/>
      <c r="AK29" s="43"/>
      <c r="AQ29" s="136">
        <f>ROUND(AQ28*Rates!E4, 0)</f>
        <v>0</v>
      </c>
      <c r="AT29" s="18"/>
      <c r="AU29" s="43"/>
      <c r="AV29" s="43"/>
      <c r="BB29" s="136">
        <f>ROUND(BB28*Rates!F4, 0)</f>
        <v>0</v>
      </c>
      <c r="BE29" s="18"/>
      <c r="BF29" s="148">
        <f t="shared" si="30"/>
        <v>4642</v>
      </c>
    </row>
    <row r="30" spans="1:58" ht="15" customHeight="1" x14ac:dyDescent="0.6">
      <c r="A30" s="209" t="s">
        <v>2</v>
      </c>
      <c r="B30" s="210"/>
      <c r="C30" s="43"/>
      <c r="D30" s="43"/>
      <c r="E30" s="58"/>
      <c r="J30" s="136">
        <f>ROUND(SUM(J28:J29),0)</f>
        <v>37798</v>
      </c>
      <c r="M30" s="18"/>
      <c r="N30" s="43"/>
      <c r="O30" s="43"/>
      <c r="U30" s="136">
        <f>ROUND(SUM(U28:U29), 0)</f>
        <v>0</v>
      </c>
      <c r="X30" s="18"/>
      <c r="Y30" s="43"/>
      <c r="Z30" s="43"/>
      <c r="AF30" s="136">
        <f>ROUND(SUM(AF28:AF29), 0)</f>
        <v>0</v>
      </c>
      <c r="AI30" s="18"/>
      <c r="AJ30" s="43"/>
      <c r="AK30" s="43"/>
      <c r="AQ30" s="136">
        <f>ROUND(SUM(AQ28:AQ29), 0)</f>
        <v>0</v>
      </c>
      <c r="AT30" s="18"/>
      <c r="AU30" s="43"/>
      <c r="AV30" s="43"/>
      <c r="BB30" s="136">
        <f>ROUND(SUM(BB28:BB29), 0)</f>
        <v>0</v>
      </c>
      <c r="BE30" s="18"/>
      <c r="BF30" s="148">
        <f t="shared" si="30"/>
        <v>37798</v>
      </c>
    </row>
    <row r="31" spans="1:58" ht="15" customHeight="1" x14ac:dyDescent="0.6">
      <c r="A31" s="23"/>
      <c r="C31" s="43"/>
      <c r="D31" s="43"/>
      <c r="E31" s="58"/>
      <c r="M31" s="18"/>
      <c r="N31" s="43"/>
      <c r="O31" s="43"/>
      <c r="X31" s="18"/>
      <c r="Y31" s="43"/>
      <c r="Z31" s="43"/>
      <c r="AI31" s="18"/>
      <c r="AJ31" s="43"/>
      <c r="AK31" s="43"/>
      <c r="AT31" s="18"/>
      <c r="AU31" s="43"/>
      <c r="AV31" s="43"/>
      <c r="BE31" s="18"/>
      <c r="BF31" s="148"/>
    </row>
    <row r="32" spans="1:58" ht="15" customHeight="1" x14ac:dyDescent="0.7">
      <c r="A32" s="222" t="s">
        <v>3</v>
      </c>
      <c r="B32" s="223"/>
      <c r="C32" s="43"/>
      <c r="D32" s="43"/>
      <c r="E32" s="58"/>
      <c r="M32" s="18"/>
      <c r="N32" s="43"/>
      <c r="O32" s="43"/>
      <c r="X32" s="18"/>
      <c r="Y32" s="43"/>
      <c r="Z32" s="43"/>
      <c r="AI32" s="18"/>
      <c r="AJ32" s="43"/>
      <c r="AK32" s="43"/>
      <c r="AT32" s="18"/>
      <c r="AU32" s="43"/>
      <c r="AV32" s="43"/>
      <c r="BE32" s="18"/>
      <c r="BF32" s="148"/>
    </row>
    <row r="33" spans="1:58" ht="15" customHeight="1" x14ac:dyDescent="0.6">
      <c r="A33" s="209" t="str">
        <f>'Monthly Budget'!A33:B33</f>
        <v>Name</v>
      </c>
      <c r="B33" s="210"/>
      <c r="C33" s="12">
        <f>'Monthly Budget'!C33</f>
        <v>0</v>
      </c>
      <c r="D33" s="41">
        <f>C33/12*1950</f>
        <v>0</v>
      </c>
      <c r="E33" s="81">
        <f>'Monthly Budget'!E33</f>
        <v>0</v>
      </c>
      <c r="F33" s="4">
        <f>E33/12</f>
        <v>0</v>
      </c>
      <c r="G33" s="97">
        <f>E33/(1950)</f>
        <v>0</v>
      </c>
      <c r="H33" s="97">
        <f>G33*Rates!B$5</f>
        <v>0</v>
      </c>
      <c r="I33" s="97">
        <f>G33+H33</f>
        <v>0</v>
      </c>
      <c r="J33" s="136">
        <f>ROUND(D33*G33, 0)</f>
        <v>0</v>
      </c>
      <c r="K33" s="4">
        <f>D33*H33</f>
        <v>0</v>
      </c>
      <c r="L33" s="4">
        <f>J33+K33</f>
        <v>0</v>
      </c>
      <c r="M33" s="18"/>
      <c r="N33" s="12">
        <f>'Monthly Budget'!K33</f>
        <v>0</v>
      </c>
      <c r="O33" s="41">
        <f>N33/12*1950</f>
        <v>0</v>
      </c>
      <c r="P33" s="58">
        <f>E33*1.02</f>
        <v>0</v>
      </c>
      <c r="Q33" s="4">
        <f>P33/12</f>
        <v>0</v>
      </c>
      <c r="R33" s="97">
        <f>P33/(1950)</f>
        <v>0</v>
      </c>
      <c r="S33" s="97">
        <f>R33*Rates!C$5</f>
        <v>0</v>
      </c>
      <c r="T33" s="97">
        <f>R33+S33</f>
        <v>0</v>
      </c>
      <c r="U33" s="136">
        <f>ROUND(O33*R33, 0)</f>
        <v>0</v>
      </c>
      <c r="V33" s="4">
        <f>ROUND(O33*S33, 0)</f>
        <v>0</v>
      </c>
      <c r="W33" s="4">
        <f>U33+V33</f>
        <v>0</v>
      </c>
      <c r="X33" s="18"/>
      <c r="Y33" s="12">
        <f>'Monthly Budget'!S33</f>
        <v>0</v>
      </c>
      <c r="Z33" s="41">
        <f>Y33/12*1950</f>
        <v>0</v>
      </c>
      <c r="AA33" s="58">
        <f>P33*1.02</f>
        <v>0</v>
      </c>
      <c r="AB33" s="4">
        <f>AA33/12</f>
        <v>0</v>
      </c>
      <c r="AC33" s="97">
        <f>AA33/(1950)</f>
        <v>0</v>
      </c>
      <c r="AD33" s="97">
        <f>AC33*Rates!D$5</f>
        <v>0</v>
      </c>
      <c r="AE33" s="97">
        <f>AC33+AD33</f>
        <v>0</v>
      </c>
      <c r="AF33" s="136">
        <f>ROUND(Z33*AC33, 0)</f>
        <v>0</v>
      </c>
      <c r="AG33" s="4">
        <f>ROUND(Z33*AD33, 0)</f>
        <v>0</v>
      </c>
      <c r="AH33" s="4">
        <f>AF33+AG33</f>
        <v>0</v>
      </c>
      <c r="AI33" s="18"/>
      <c r="AJ33" s="12">
        <f>'Monthly Budget'!AA33</f>
        <v>0</v>
      </c>
      <c r="AK33" s="41">
        <f>AJ33/12*1950</f>
        <v>0</v>
      </c>
      <c r="AL33" s="58">
        <f>AA33*1.02</f>
        <v>0</v>
      </c>
      <c r="AM33" s="4">
        <f>AL33/12</f>
        <v>0</v>
      </c>
      <c r="AN33" s="97">
        <f>AL33/(1950)</f>
        <v>0</v>
      </c>
      <c r="AO33" s="97">
        <f>AN33*Rates!E$5</f>
        <v>0</v>
      </c>
      <c r="AP33" s="97">
        <f>AN33+AO33</f>
        <v>0</v>
      </c>
      <c r="AQ33" s="136">
        <f>ROUND(AK33*AN33, 0)</f>
        <v>0</v>
      </c>
      <c r="AR33" s="4">
        <f>ROUND(AK33*AO33, 0)</f>
        <v>0</v>
      </c>
      <c r="AS33" s="4">
        <f>AQ33+AR33</f>
        <v>0</v>
      </c>
      <c r="AT33" s="18"/>
      <c r="AU33" s="12">
        <f>'Monthly Budget'!AI33</f>
        <v>0</v>
      </c>
      <c r="AV33" s="41">
        <f>AU33/12*1950</f>
        <v>0</v>
      </c>
      <c r="AW33" s="58">
        <f>AL33*1.02</f>
        <v>0</v>
      </c>
      <c r="AX33" s="4">
        <f>AW33/12</f>
        <v>0</v>
      </c>
      <c r="AY33" s="97">
        <f>AW33/(1950)</f>
        <v>0</v>
      </c>
      <c r="AZ33" s="97">
        <f>AY33*Rates!F$5</f>
        <v>0</v>
      </c>
      <c r="BA33" s="97">
        <f>AY33+AZ33</f>
        <v>0</v>
      </c>
      <c r="BB33" s="136">
        <f>ROUND(AV33*AY33, 0)</f>
        <v>0</v>
      </c>
      <c r="BC33" s="4">
        <f>ROUND(AV33*AZ33, 0)</f>
        <v>0</v>
      </c>
      <c r="BD33" s="4">
        <f>BB33+BC33</f>
        <v>0</v>
      </c>
      <c r="BE33" s="18"/>
      <c r="BF33" s="148">
        <f t="shared" ref="BF33:BF38" si="31">J33+U33+AF33+AQ33+BB33</f>
        <v>0</v>
      </c>
    </row>
    <row r="34" spans="1:58" ht="15" customHeight="1" x14ac:dyDescent="0.6">
      <c r="A34" s="209" t="str">
        <f>'Monthly Budget'!A34:B34</f>
        <v>Name</v>
      </c>
      <c r="B34" s="210"/>
      <c r="C34" s="12">
        <f>'Monthly Budget'!C34</f>
        <v>0</v>
      </c>
      <c r="D34" s="41">
        <f>C34/12*1950</f>
        <v>0</v>
      </c>
      <c r="E34" s="81">
        <f>'Monthly Budget'!E34</f>
        <v>0</v>
      </c>
      <c r="F34" s="4">
        <f>E34/12</f>
        <v>0</v>
      </c>
      <c r="G34" s="97">
        <f>E34/(1950)</f>
        <v>0</v>
      </c>
      <c r="H34" s="97">
        <f>G34*Rates!B$5</f>
        <v>0</v>
      </c>
      <c r="I34" s="97">
        <f>G34+H34</f>
        <v>0</v>
      </c>
      <c r="J34" s="136">
        <f>ROUND(D34*G34, 0)</f>
        <v>0</v>
      </c>
      <c r="K34" s="4">
        <f>D34*H34</f>
        <v>0</v>
      </c>
      <c r="L34" s="4">
        <f>J34+K34</f>
        <v>0</v>
      </c>
      <c r="M34" s="18"/>
      <c r="N34" s="12">
        <f>'Monthly Budget'!K34</f>
        <v>0</v>
      </c>
      <c r="O34" s="41">
        <f>N34/12*1950</f>
        <v>0</v>
      </c>
      <c r="P34" s="58">
        <f>E34*1.02</f>
        <v>0</v>
      </c>
      <c r="Q34" s="19">
        <f>P34/12</f>
        <v>0</v>
      </c>
      <c r="R34" s="97">
        <f>P34/(1950)</f>
        <v>0</v>
      </c>
      <c r="S34" s="97">
        <f>R34*Rates!C$5</f>
        <v>0</v>
      </c>
      <c r="T34" s="97">
        <f>R34+S34</f>
        <v>0</v>
      </c>
      <c r="U34" s="136">
        <f>ROUND(O34*R34, 0)</f>
        <v>0</v>
      </c>
      <c r="V34" s="4">
        <f>ROUND(O34*S34, 0)</f>
        <v>0</v>
      </c>
      <c r="W34" s="4">
        <f>U34+V34</f>
        <v>0</v>
      </c>
      <c r="X34" s="18"/>
      <c r="Y34" s="12">
        <f>'Monthly Budget'!S34</f>
        <v>0</v>
      </c>
      <c r="Z34" s="41">
        <f>Y34/12*1950</f>
        <v>0</v>
      </c>
      <c r="AA34" s="58">
        <f>P34*1.02</f>
        <v>0</v>
      </c>
      <c r="AB34" s="19">
        <f>AA34/12</f>
        <v>0</v>
      </c>
      <c r="AC34" s="97">
        <f>AA34/(1950)</f>
        <v>0</v>
      </c>
      <c r="AD34" s="97">
        <f>AC34*Rates!D$5</f>
        <v>0</v>
      </c>
      <c r="AE34" s="97">
        <f>AC34+AD34</f>
        <v>0</v>
      </c>
      <c r="AF34" s="136">
        <f>ROUND(Z34*AC34, 0)</f>
        <v>0</v>
      </c>
      <c r="AG34" s="4">
        <f>ROUND(Z34*AD34, 0)</f>
        <v>0</v>
      </c>
      <c r="AH34" s="4">
        <f>AF34+AG34</f>
        <v>0</v>
      </c>
      <c r="AI34" s="18"/>
      <c r="AJ34" s="12">
        <f>'Monthly Budget'!AA34</f>
        <v>0</v>
      </c>
      <c r="AK34" s="41">
        <f>AJ34/12*1950</f>
        <v>0</v>
      </c>
      <c r="AL34" s="58">
        <f>AA34*1.02</f>
        <v>0</v>
      </c>
      <c r="AM34" s="19">
        <f>AL34/12</f>
        <v>0</v>
      </c>
      <c r="AN34" s="97">
        <f>AL34/(1950)</f>
        <v>0</v>
      </c>
      <c r="AO34" s="97">
        <f>AN34*Rates!E$5</f>
        <v>0</v>
      </c>
      <c r="AP34" s="97">
        <f>AN34+AO34</f>
        <v>0</v>
      </c>
      <c r="AQ34" s="136">
        <f>ROUND(AK34*AN34, 0)</f>
        <v>0</v>
      </c>
      <c r="AR34" s="4">
        <f>ROUND(AK34*AO34, 0)</f>
        <v>0</v>
      </c>
      <c r="AS34" s="4">
        <f>AQ34+AR34</f>
        <v>0</v>
      </c>
      <c r="AT34" s="18"/>
      <c r="AU34" s="12">
        <f>'Monthly Budget'!AI34</f>
        <v>0</v>
      </c>
      <c r="AV34" s="41">
        <f>AU34/12*1950</f>
        <v>0</v>
      </c>
      <c r="AW34" s="58">
        <f>AL34*1.02</f>
        <v>0</v>
      </c>
      <c r="AX34" s="19">
        <f>AW34/12</f>
        <v>0</v>
      </c>
      <c r="AY34" s="97">
        <f>AW34/(1950)</f>
        <v>0</v>
      </c>
      <c r="AZ34" s="97">
        <f>AY34*Rates!F$5</f>
        <v>0</v>
      </c>
      <c r="BA34" s="97">
        <f>AY34+AZ34</f>
        <v>0</v>
      </c>
      <c r="BB34" s="136">
        <f>ROUND(AV34*AY34, 0)</f>
        <v>0</v>
      </c>
      <c r="BC34" s="4">
        <f>ROUND(AV34*AZ34, 0)</f>
        <v>0</v>
      </c>
      <c r="BD34" s="4">
        <f>BB34+BC34</f>
        <v>0</v>
      </c>
      <c r="BE34" s="18"/>
      <c r="BF34" s="148">
        <f t="shared" si="31"/>
        <v>0</v>
      </c>
    </row>
    <row r="35" spans="1:58" ht="15" customHeight="1" thickBot="1" x14ac:dyDescent="0.75">
      <c r="A35" s="245" t="str">
        <f>'Monthly Budget'!A35:B35</f>
        <v>Name</v>
      </c>
      <c r="B35" s="246"/>
      <c r="C35" s="12">
        <f>'Monthly Budget'!C35</f>
        <v>0</v>
      </c>
      <c r="D35" s="41">
        <f>C35/12*1950</f>
        <v>0</v>
      </c>
      <c r="E35" s="81">
        <f>'Monthly Budget'!E35</f>
        <v>0</v>
      </c>
      <c r="F35" s="4">
        <f>E35/12</f>
        <v>0</v>
      </c>
      <c r="G35" s="97">
        <f>E35/(1950)</f>
        <v>0</v>
      </c>
      <c r="H35" s="97">
        <f>G35*Rates!B$5</f>
        <v>0</v>
      </c>
      <c r="I35" s="97">
        <f>G35+H35</f>
        <v>0</v>
      </c>
      <c r="J35" s="136">
        <f>ROUND(D35*G35, 0)</f>
        <v>0</v>
      </c>
      <c r="K35" s="4">
        <f>D35*H35</f>
        <v>0</v>
      </c>
      <c r="L35" s="4">
        <f>J35+K35</f>
        <v>0</v>
      </c>
      <c r="M35" s="18"/>
      <c r="N35" s="12">
        <f>'Monthly Budget'!K35</f>
        <v>0</v>
      </c>
      <c r="O35" s="41">
        <f>N35/12*1950</f>
        <v>0</v>
      </c>
      <c r="P35" s="58">
        <f>E35*1.02</f>
        <v>0</v>
      </c>
      <c r="Q35" s="19">
        <f>P35/12</f>
        <v>0</v>
      </c>
      <c r="R35" s="97">
        <f>P35/(1950)</f>
        <v>0</v>
      </c>
      <c r="S35" s="97">
        <f>R35*Rates!C$5</f>
        <v>0</v>
      </c>
      <c r="T35" s="97">
        <f>R35+S35</f>
        <v>0</v>
      </c>
      <c r="U35" s="136">
        <f>ROUND(O35*R35, 0)</f>
        <v>0</v>
      </c>
      <c r="V35" s="4">
        <f>ROUND(O35*S35, 0)</f>
        <v>0</v>
      </c>
      <c r="W35" s="4">
        <f>U35+V35</f>
        <v>0</v>
      </c>
      <c r="X35" s="18"/>
      <c r="Y35" s="12">
        <f>'Monthly Budget'!S35</f>
        <v>0</v>
      </c>
      <c r="Z35" s="41">
        <f>Y35/12*1950</f>
        <v>0</v>
      </c>
      <c r="AA35" s="58">
        <f>P35*1.02</f>
        <v>0</v>
      </c>
      <c r="AB35" s="19">
        <f>AA35/12</f>
        <v>0</v>
      </c>
      <c r="AC35" s="97">
        <f>AA35/(1950)</f>
        <v>0</v>
      </c>
      <c r="AD35" s="97">
        <f>AC35*Rates!D$5</f>
        <v>0</v>
      </c>
      <c r="AE35" s="97">
        <f>AC35+AD35</f>
        <v>0</v>
      </c>
      <c r="AF35" s="136">
        <f>ROUND(Z35*AC35, 0)</f>
        <v>0</v>
      </c>
      <c r="AG35" s="4">
        <f>ROUND(Z35*AD35, 0)</f>
        <v>0</v>
      </c>
      <c r="AH35" s="4">
        <f>AF35+AG35</f>
        <v>0</v>
      </c>
      <c r="AI35" s="18"/>
      <c r="AJ35" s="12">
        <f>'Monthly Budget'!AA35</f>
        <v>0</v>
      </c>
      <c r="AK35" s="41">
        <f>AJ35/12*1950</f>
        <v>0</v>
      </c>
      <c r="AL35" s="58">
        <f>AA35*1.02</f>
        <v>0</v>
      </c>
      <c r="AM35" s="19">
        <f>AL35/12</f>
        <v>0</v>
      </c>
      <c r="AN35" s="97">
        <f>AL35/(1950)</f>
        <v>0</v>
      </c>
      <c r="AO35" s="97">
        <f>AN35*Rates!E$5</f>
        <v>0</v>
      </c>
      <c r="AP35" s="97">
        <f>AN35+AO35</f>
        <v>0</v>
      </c>
      <c r="AQ35" s="136">
        <f>ROUND(AK35*AN35, 0)</f>
        <v>0</v>
      </c>
      <c r="AR35" s="4">
        <f>ROUND(AK35*AO35, 0)</f>
        <v>0</v>
      </c>
      <c r="AS35" s="4">
        <f>AQ35+AR35</f>
        <v>0</v>
      </c>
      <c r="AT35" s="18"/>
      <c r="AU35" s="12">
        <f>'Monthly Budget'!AI35</f>
        <v>0</v>
      </c>
      <c r="AV35" s="41">
        <f>AU35/12*1950</f>
        <v>0</v>
      </c>
      <c r="AW35" s="58">
        <f>AL35*1.02</f>
        <v>0</v>
      </c>
      <c r="AX35" s="19">
        <f>AW35/12</f>
        <v>0</v>
      </c>
      <c r="AY35" s="97">
        <f>AW35/(1950)</f>
        <v>0</v>
      </c>
      <c r="AZ35" s="97">
        <f>AY35*Rates!F$5</f>
        <v>0</v>
      </c>
      <c r="BA35" s="97">
        <f>AY35+AZ35</f>
        <v>0</v>
      </c>
      <c r="BB35" s="136">
        <f>ROUND(AV35*AY35, 0)</f>
        <v>0</v>
      </c>
      <c r="BC35" s="4">
        <f>ROUND(AV35*AZ35, 0)</f>
        <v>0</v>
      </c>
      <c r="BD35" s="4">
        <f>BB35+BC35</f>
        <v>0</v>
      </c>
      <c r="BE35" s="18"/>
      <c r="BF35" s="148">
        <f t="shared" si="31"/>
        <v>0</v>
      </c>
    </row>
    <row r="36" spans="1:58" ht="15" customHeight="1" thickTop="1" x14ac:dyDescent="0.6">
      <c r="A36" s="211" t="s">
        <v>0</v>
      </c>
      <c r="B36" s="212"/>
      <c r="C36" s="62"/>
      <c r="D36" s="62"/>
      <c r="E36" s="82"/>
      <c r="F36" s="63"/>
      <c r="G36" s="98"/>
      <c r="H36" s="98"/>
      <c r="I36" s="98"/>
      <c r="J36" s="138">
        <f>ROUND(SUM(J33:J35), 0)</f>
        <v>0</v>
      </c>
      <c r="K36" s="63"/>
      <c r="L36" s="63"/>
      <c r="M36" s="64"/>
      <c r="N36" s="62"/>
      <c r="O36" s="62"/>
      <c r="P36" s="82"/>
      <c r="Q36" s="67"/>
      <c r="R36" s="98"/>
      <c r="S36" s="98"/>
      <c r="T36" s="98"/>
      <c r="U36" s="138">
        <f>ROUND(SUM(U33:U35), 0)</f>
        <v>0</v>
      </c>
      <c r="V36" s="63"/>
      <c r="W36" s="63"/>
      <c r="X36" s="64"/>
      <c r="Y36" s="62"/>
      <c r="Z36" s="62"/>
      <c r="AA36" s="82"/>
      <c r="AB36" s="67"/>
      <c r="AC36" s="98"/>
      <c r="AD36" s="98"/>
      <c r="AE36" s="98"/>
      <c r="AF36" s="138">
        <f>ROUND(SUM(AF33:AF35), 0)</f>
        <v>0</v>
      </c>
      <c r="AG36" s="63"/>
      <c r="AH36" s="63"/>
      <c r="AI36" s="64"/>
      <c r="AJ36" s="62"/>
      <c r="AK36" s="62"/>
      <c r="AL36" s="82"/>
      <c r="AM36" s="67"/>
      <c r="AN36" s="98"/>
      <c r="AO36" s="98"/>
      <c r="AP36" s="98"/>
      <c r="AQ36" s="138">
        <f>ROUND(SUM(AQ33:AQ35), 0)</f>
        <v>0</v>
      </c>
      <c r="AR36" s="63"/>
      <c r="AS36" s="63"/>
      <c r="AT36" s="64"/>
      <c r="AU36" s="62"/>
      <c r="AV36" s="62"/>
      <c r="AW36" s="82"/>
      <c r="AX36" s="67"/>
      <c r="AY36" s="98"/>
      <c r="AZ36" s="98"/>
      <c r="BA36" s="98"/>
      <c r="BB36" s="138">
        <f>ROUND(SUM(BB33:BB35), 0)</f>
        <v>0</v>
      </c>
      <c r="BC36" s="63"/>
      <c r="BD36" s="63"/>
      <c r="BE36" s="64"/>
      <c r="BF36" s="149">
        <f t="shared" si="31"/>
        <v>0</v>
      </c>
    </row>
    <row r="37" spans="1:58" ht="15" customHeight="1" x14ac:dyDescent="0.6">
      <c r="A37" s="216" t="s">
        <v>84</v>
      </c>
      <c r="B37" s="210"/>
      <c r="C37" s="43"/>
      <c r="D37" s="43"/>
      <c r="E37" s="58"/>
      <c r="J37" s="136">
        <f>ROUND(J36*Rates!B5, 0)</f>
        <v>0</v>
      </c>
      <c r="M37" s="18"/>
      <c r="N37" s="43"/>
      <c r="O37" s="43"/>
      <c r="U37" s="136">
        <f>ROUND(U36*Rates!C5, 0)</f>
        <v>0</v>
      </c>
      <c r="X37" s="18"/>
      <c r="Y37" s="43"/>
      <c r="Z37" s="43"/>
      <c r="AF37" s="136">
        <f>ROUND(AF36*Rates!D5, 0)</f>
        <v>0</v>
      </c>
      <c r="AI37" s="18"/>
      <c r="AJ37" s="43"/>
      <c r="AK37" s="43"/>
      <c r="AQ37" s="136">
        <f>ROUND(AQ36*Rates!E5, 0)</f>
        <v>0</v>
      </c>
      <c r="AT37" s="18"/>
      <c r="AU37" s="43"/>
      <c r="AV37" s="43"/>
      <c r="BB37" s="136">
        <f>ROUND(BB36*Rates!F5, 0)</f>
        <v>0</v>
      </c>
      <c r="BE37" s="18"/>
      <c r="BF37" s="148">
        <f t="shared" si="31"/>
        <v>0</v>
      </c>
    </row>
    <row r="38" spans="1:58" ht="15" customHeight="1" x14ac:dyDescent="0.6">
      <c r="A38" s="209" t="s">
        <v>2</v>
      </c>
      <c r="B38" s="210"/>
      <c r="C38" s="43"/>
      <c r="D38" s="43"/>
      <c r="E38" s="58"/>
      <c r="J38" s="136">
        <f>ROUND(SUM(J36:J37), 0)</f>
        <v>0</v>
      </c>
      <c r="M38" s="18"/>
      <c r="N38" s="43"/>
      <c r="O38" s="43"/>
      <c r="U38" s="136">
        <f>ROUND(SUM(U36:U37), 0)</f>
        <v>0</v>
      </c>
      <c r="X38" s="18"/>
      <c r="Y38" s="43"/>
      <c r="Z38" s="43"/>
      <c r="AF38" s="136">
        <f>ROUND(SUM(AF36:AF37), 0)</f>
        <v>0</v>
      </c>
      <c r="AI38" s="18"/>
      <c r="AJ38" s="43"/>
      <c r="AK38" s="43"/>
      <c r="AQ38" s="136">
        <f>ROUND(SUM(AQ36:AQ37), 0)</f>
        <v>0</v>
      </c>
      <c r="AT38" s="18"/>
      <c r="AU38" s="43"/>
      <c r="AV38" s="43"/>
      <c r="BB38" s="136">
        <f>ROUND(SUM(BB36:BB37), 0)</f>
        <v>0</v>
      </c>
      <c r="BE38" s="18"/>
      <c r="BF38" s="148">
        <f t="shared" si="31"/>
        <v>0</v>
      </c>
    </row>
    <row r="39" spans="1:58" ht="15" customHeight="1" x14ac:dyDescent="0.6">
      <c r="A39" s="23"/>
      <c r="C39" s="43"/>
      <c r="D39" s="43"/>
      <c r="E39" s="58"/>
      <c r="M39" s="18"/>
      <c r="N39" s="43"/>
      <c r="O39" s="43"/>
      <c r="X39" s="18"/>
      <c r="Y39" s="43"/>
      <c r="Z39" s="43"/>
      <c r="AI39" s="18"/>
      <c r="AJ39" s="43"/>
      <c r="AK39" s="43"/>
      <c r="AT39" s="18"/>
      <c r="AU39" s="43"/>
      <c r="AV39" s="43"/>
      <c r="BE39" s="18"/>
      <c r="BF39" s="148"/>
    </row>
    <row r="40" spans="1:58" ht="15" customHeight="1" x14ac:dyDescent="0.7">
      <c r="A40" s="222" t="s">
        <v>36</v>
      </c>
      <c r="B40" s="223"/>
      <c r="C40" s="43"/>
      <c r="D40" s="43"/>
      <c r="E40" s="58"/>
      <c r="M40" s="18"/>
      <c r="N40" s="43"/>
      <c r="O40" s="43"/>
      <c r="X40" s="18"/>
      <c r="Y40" s="43"/>
      <c r="Z40" s="43"/>
      <c r="AI40" s="18"/>
      <c r="AJ40" s="43"/>
      <c r="AK40" s="43"/>
      <c r="AT40" s="18"/>
      <c r="AU40" s="43"/>
      <c r="AV40" s="43"/>
      <c r="BE40" s="18"/>
      <c r="BF40" s="148"/>
    </row>
    <row r="41" spans="1:58" ht="15" customHeight="1" x14ac:dyDescent="0.6">
      <c r="A41" s="209" t="str">
        <f>'Monthly Budget'!A41</f>
        <v>Name (CY)</v>
      </c>
      <c r="B41" s="210"/>
      <c r="C41" s="12">
        <f>'Monthly Budget'!C41</f>
        <v>0</v>
      </c>
      <c r="D41" s="41">
        <f>C41/12*1040</f>
        <v>0</v>
      </c>
      <c r="E41" s="81">
        <f>'Monthly Budget'!E41</f>
        <v>0</v>
      </c>
      <c r="F41" s="4">
        <f>E41/12</f>
        <v>0</v>
      </c>
      <c r="G41" s="97">
        <f>E41/(1040)</f>
        <v>0</v>
      </c>
      <c r="H41" s="97">
        <f>G41*Rates!B$6</f>
        <v>0</v>
      </c>
      <c r="I41" s="97">
        <f>G41+H41</f>
        <v>0</v>
      </c>
      <c r="J41" s="136">
        <f>ROUND(D41*G41, 0)</f>
        <v>0</v>
      </c>
      <c r="K41" s="4">
        <f>D41*H41</f>
        <v>0</v>
      </c>
      <c r="L41" s="4">
        <f>J41+K41</f>
        <v>0</v>
      </c>
      <c r="M41" s="18"/>
      <c r="N41" s="12">
        <f>'Monthly Budget'!K41</f>
        <v>0</v>
      </c>
      <c r="O41" s="41">
        <f>N41/12*1040</f>
        <v>0</v>
      </c>
      <c r="P41" s="58">
        <f>E41*1.02</f>
        <v>0</v>
      </c>
      <c r="Q41" s="19">
        <f>P41/12</f>
        <v>0</v>
      </c>
      <c r="R41" s="97">
        <f>P41/(1040)</f>
        <v>0</v>
      </c>
      <c r="S41" s="97">
        <f>R41*Rates!C$6</f>
        <v>0</v>
      </c>
      <c r="T41" s="97">
        <f>R41+S41</f>
        <v>0</v>
      </c>
      <c r="U41" s="136">
        <f>ROUND(O41*R41, 0)</f>
        <v>0</v>
      </c>
      <c r="V41" s="4">
        <f>ROUND(O41*S41, 0)</f>
        <v>0</v>
      </c>
      <c r="W41" s="4">
        <f>U41+V41</f>
        <v>0</v>
      </c>
      <c r="X41" s="18"/>
      <c r="Y41" s="12">
        <f>'Monthly Budget'!S41</f>
        <v>0</v>
      </c>
      <c r="Z41" s="41">
        <f>Y41/12*1040</f>
        <v>0</v>
      </c>
      <c r="AA41" s="58">
        <f>P41*1.02</f>
        <v>0</v>
      </c>
      <c r="AB41" s="19">
        <f>AA41/12</f>
        <v>0</v>
      </c>
      <c r="AC41" s="97">
        <f>AA41/(1040)</f>
        <v>0</v>
      </c>
      <c r="AD41" s="97">
        <f>AC41*Rates!D$6</f>
        <v>0</v>
      </c>
      <c r="AE41" s="97">
        <f>AC41+AD41</f>
        <v>0</v>
      </c>
      <c r="AF41" s="136">
        <f>ROUND(Z41*AC41, 0)</f>
        <v>0</v>
      </c>
      <c r="AG41" s="4">
        <f>ROUND(Z41*AD41, 0)</f>
        <v>0</v>
      </c>
      <c r="AH41" s="4">
        <f>AF41+AG41</f>
        <v>0</v>
      </c>
      <c r="AI41" s="18"/>
      <c r="AJ41" s="12">
        <f>'Monthly Budget'!AA41</f>
        <v>0</v>
      </c>
      <c r="AK41" s="41">
        <f>AJ41/12*1040</f>
        <v>0</v>
      </c>
      <c r="AL41" s="58">
        <f>AA41*1.02</f>
        <v>0</v>
      </c>
      <c r="AM41" s="19">
        <f>AL41/12</f>
        <v>0</v>
      </c>
      <c r="AN41" s="97">
        <f>AL41/(1040)</f>
        <v>0</v>
      </c>
      <c r="AO41" s="97">
        <f>AN41*Rates!E$6</f>
        <v>0</v>
      </c>
      <c r="AP41" s="97">
        <f>AN41+AO41</f>
        <v>0</v>
      </c>
      <c r="AQ41" s="136">
        <f>ROUND(AK41*AN41, 0)</f>
        <v>0</v>
      </c>
      <c r="AR41" s="4">
        <f>ROUND(AK41*AO41, 0)</f>
        <v>0</v>
      </c>
      <c r="AS41" s="4">
        <f>AQ41+AR41</f>
        <v>0</v>
      </c>
      <c r="AT41" s="18"/>
      <c r="AU41" s="12">
        <f>'Monthly Budget'!AI41</f>
        <v>0</v>
      </c>
      <c r="AV41" s="41">
        <f>AU41/12*1040</f>
        <v>0</v>
      </c>
      <c r="AW41" s="58">
        <f>AL41*1.02</f>
        <v>0</v>
      </c>
      <c r="AX41" s="19">
        <f>AW41/12</f>
        <v>0</v>
      </c>
      <c r="AY41" s="97">
        <f>AW41/(1040)</f>
        <v>0</v>
      </c>
      <c r="AZ41" s="97">
        <f>AY41*Rates!F$6</f>
        <v>0</v>
      </c>
      <c r="BA41" s="97">
        <f>AY41+AZ41</f>
        <v>0</v>
      </c>
      <c r="BB41" s="136">
        <f>ROUND(AV41*AY41, 0)</f>
        <v>0</v>
      </c>
      <c r="BC41" s="4">
        <f>ROUND(AV41*AZ41, 0)</f>
        <v>0</v>
      </c>
      <c r="BD41" s="4">
        <f>BB41+BC41</f>
        <v>0</v>
      </c>
      <c r="BE41" s="18"/>
      <c r="BF41" s="148">
        <f t="shared" ref="BF41:BF52" si="32">J41+U41+AF41+AQ41+BB41</f>
        <v>0</v>
      </c>
    </row>
    <row r="42" spans="1:58" ht="15" customHeight="1" x14ac:dyDescent="0.6">
      <c r="A42" s="209" t="str">
        <f>'Monthly Budget'!A42</f>
        <v>Name (CY)</v>
      </c>
      <c r="B42" s="210"/>
      <c r="C42" s="12">
        <f>'Monthly Budget'!C42</f>
        <v>0</v>
      </c>
      <c r="D42" s="41">
        <f>C42/12*1040</f>
        <v>0</v>
      </c>
      <c r="E42" s="81">
        <f>'Monthly Budget'!E42</f>
        <v>0</v>
      </c>
      <c r="F42" s="4">
        <f>E42/12</f>
        <v>0</v>
      </c>
      <c r="G42" s="97">
        <f>E42/(1040)</f>
        <v>0</v>
      </c>
      <c r="H42" s="97">
        <f>G42*Rates!B$6</f>
        <v>0</v>
      </c>
      <c r="I42" s="97">
        <f>G42+H42</f>
        <v>0</v>
      </c>
      <c r="J42" s="136">
        <f>ROUND(D42*G42, 0)</f>
        <v>0</v>
      </c>
      <c r="K42" s="4">
        <f>D42*H42</f>
        <v>0</v>
      </c>
      <c r="L42" s="4">
        <f>J42+K42</f>
        <v>0</v>
      </c>
      <c r="M42" s="18"/>
      <c r="N42" s="12">
        <f>'Monthly Budget'!K42</f>
        <v>0</v>
      </c>
      <c r="O42" s="41">
        <f>N42/12*1040</f>
        <v>0</v>
      </c>
      <c r="P42" s="58">
        <f>E42*1.02</f>
        <v>0</v>
      </c>
      <c r="Q42" s="19">
        <f>P42/12</f>
        <v>0</v>
      </c>
      <c r="R42" s="97">
        <f>P42/(1040)</f>
        <v>0</v>
      </c>
      <c r="S42" s="97">
        <f>R42*Rates!C$6</f>
        <v>0</v>
      </c>
      <c r="T42" s="97">
        <f>R42+S42</f>
        <v>0</v>
      </c>
      <c r="U42" s="136">
        <f>ROUND(O42*R42, 0)</f>
        <v>0</v>
      </c>
      <c r="V42" s="4">
        <f>ROUND(O42*S42, 0)</f>
        <v>0</v>
      </c>
      <c r="W42" s="4">
        <f>U42+V42</f>
        <v>0</v>
      </c>
      <c r="X42" s="18"/>
      <c r="Y42" s="12">
        <f>'Monthly Budget'!S42</f>
        <v>0</v>
      </c>
      <c r="Z42" s="41">
        <f>Y42/12*1040</f>
        <v>0</v>
      </c>
      <c r="AA42" s="58">
        <f>P42*1.02</f>
        <v>0</v>
      </c>
      <c r="AB42" s="19">
        <f>AA42/12</f>
        <v>0</v>
      </c>
      <c r="AC42" s="97">
        <f>AA42/(1040)</f>
        <v>0</v>
      </c>
      <c r="AD42" s="97">
        <f>AC42*Rates!D$6</f>
        <v>0</v>
      </c>
      <c r="AE42" s="97">
        <f>AC42+AD42</f>
        <v>0</v>
      </c>
      <c r="AF42" s="136">
        <f>ROUND(Z42*AC42, 0)</f>
        <v>0</v>
      </c>
      <c r="AG42" s="4">
        <f>ROUND(Z42*AD42, 0)</f>
        <v>0</v>
      </c>
      <c r="AH42" s="4">
        <f>AF42+AG42</f>
        <v>0</v>
      </c>
      <c r="AI42" s="18"/>
      <c r="AJ42" s="12">
        <f>'Monthly Budget'!AA42</f>
        <v>0</v>
      </c>
      <c r="AK42" s="41">
        <f>AJ42/12*1040</f>
        <v>0</v>
      </c>
      <c r="AL42" s="58">
        <f>AA42*1.02</f>
        <v>0</v>
      </c>
      <c r="AM42" s="19">
        <f>AL42/12</f>
        <v>0</v>
      </c>
      <c r="AN42" s="97">
        <f>AL42/(1040)</f>
        <v>0</v>
      </c>
      <c r="AO42" s="97">
        <f>AN42*Rates!E$6</f>
        <v>0</v>
      </c>
      <c r="AP42" s="97">
        <f>AN42+AO42</f>
        <v>0</v>
      </c>
      <c r="AQ42" s="136">
        <f>ROUND(AK42*AN42, 0)</f>
        <v>0</v>
      </c>
      <c r="AR42" s="4">
        <f>ROUND(AK42*AO42, 0)</f>
        <v>0</v>
      </c>
      <c r="AS42" s="4">
        <f>AQ42+AR42</f>
        <v>0</v>
      </c>
      <c r="AT42" s="18"/>
      <c r="AU42" s="12">
        <f>'Monthly Budget'!AI42</f>
        <v>0</v>
      </c>
      <c r="AV42" s="41">
        <f>AU42/12*1040</f>
        <v>0</v>
      </c>
      <c r="AW42" s="58">
        <f>AL42*1.02</f>
        <v>0</v>
      </c>
      <c r="AX42" s="19">
        <f>AW42/12</f>
        <v>0</v>
      </c>
      <c r="AY42" s="97">
        <f>AW42/(1040)</f>
        <v>0</v>
      </c>
      <c r="AZ42" s="97">
        <f>AY42*Rates!F$6</f>
        <v>0</v>
      </c>
      <c r="BA42" s="97">
        <f>AY42+AZ42</f>
        <v>0</v>
      </c>
      <c r="BB42" s="136">
        <f>ROUND(AV42*AY42, 0)</f>
        <v>0</v>
      </c>
      <c r="BC42" s="4">
        <f>ROUND(AV42*AZ42, 0)</f>
        <v>0</v>
      </c>
      <c r="BD42" s="4">
        <f>BB42+BC42</f>
        <v>0</v>
      </c>
      <c r="BE42" s="18"/>
      <c r="BF42" s="148">
        <f t="shared" si="32"/>
        <v>0</v>
      </c>
    </row>
    <row r="43" spans="1:58" ht="15" customHeight="1" x14ac:dyDescent="0.6">
      <c r="A43" s="210" t="str">
        <f>'Monthly Budget'!A43</f>
        <v>Name (CY)</v>
      </c>
      <c r="B43" s="210"/>
      <c r="C43" s="12">
        <f>'Monthly Budget'!C43</f>
        <v>0</v>
      </c>
      <c r="D43" s="41">
        <f>C43/12*1040</f>
        <v>0</v>
      </c>
      <c r="E43" s="81">
        <f>'Monthly Budget'!E43</f>
        <v>0</v>
      </c>
      <c r="F43" s="4">
        <f>E43/12</f>
        <v>0</v>
      </c>
      <c r="G43" s="97">
        <f>E43/(1040)</f>
        <v>0</v>
      </c>
      <c r="H43" s="97">
        <f>G43*Rates!B$6</f>
        <v>0</v>
      </c>
      <c r="I43" s="97">
        <f>G43+H43</f>
        <v>0</v>
      </c>
      <c r="J43" s="136">
        <f>ROUND(D43*G43, 0)</f>
        <v>0</v>
      </c>
      <c r="K43" s="4">
        <f>D43*H43</f>
        <v>0</v>
      </c>
      <c r="L43" s="4">
        <f>J43+K43</f>
        <v>0</v>
      </c>
      <c r="M43" s="18"/>
      <c r="N43" s="12">
        <f>'Monthly Budget'!K43</f>
        <v>0</v>
      </c>
      <c r="O43" s="41">
        <f>N43/12*1040</f>
        <v>0</v>
      </c>
      <c r="P43" s="58">
        <f>E43*1.02</f>
        <v>0</v>
      </c>
      <c r="Q43" s="19">
        <f>P43/12</f>
        <v>0</v>
      </c>
      <c r="R43" s="97">
        <f>P43/(1040)</f>
        <v>0</v>
      </c>
      <c r="S43" s="97">
        <f>R43*Rates!C$6</f>
        <v>0</v>
      </c>
      <c r="T43" s="97">
        <f>R43+S43</f>
        <v>0</v>
      </c>
      <c r="U43" s="136">
        <f>ROUND(O43*R43, 0)</f>
        <v>0</v>
      </c>
      <c r="V43" s="4">
        <f>ROUND(O43*S43, 0)</f>
        <v>0</v>
      </c>
      <c r="W43" s="4">
        <f>U43+V43</f>
        <v>0</v>
      </c>
      <c r="X43" s="18"/>
      <c r="Y43" s="12">
        <f>'Monthly Budget'!S43</f>
        <v>0</v>
      </c>
      <c r="Z43" s="41">
        <f>Y43/12*1040</f>
        <v>0</v>
      </c>
      <c r="AA43" s="58">
        <f>P43*1.02</f>
        <v>0</v>
      </c>
      <c r="AB43" s="19">
        <f>AA43/12</f>
        <v>0</v>
      </c>
      <c r="AC43" s="97">
        <f>AA43/(1040)</f>
        <v>0</v>
      </c>
      <c r="AD43" s="97">
        <f>AC43*Rates!D$6</f>
        <v>0</v>
      </c>
      <c r="AE43" s="97">
        <f>AC43+AD43</f>
        <v>0</v>
      </c>
      <c r="AF43" s="136">
        <f>ROUND(Z43*AC43, 0)</f>
        <v>0</v>
      </c>
      <c r="AG43" s="4">
        <f>ROUND(Z43*AD43, 0)</f>
        <v>0</v>
      </c>
      <c r="AH43" s="4">
        <f>AF43+AG43</f>
        <v>0</v>
      </c>
      <c r="AI43" s="18"/>
      <c r="AJ43" s="12">
        <f>'Monthly Budget'!AA43</f>
        <v>0</v>
      </c>
      <c r="AK43" s="41">
        <f>AJ43/12*1040</f>
        <v>0</v>
      </c>
      <c r="AL43" s="58">
        <f>AA43*1.02</f>
        <v>0</v>
      </c>
      <c r="AM43" s="19">
        <f>AL43/12</f>
        <v>0</v>
      </c>
      <c r="AN43" s="97">
        <f>AL43/(1040)</f>
        <v>0</v>
      </c>
      <c r="AO43" s="97">
        <f>AN43*Rates!E$6</f>
        <v>0</v>
      </c>
      <c r="AP43" s="97">
        <f>AN43+AO43</f>
        <v>0</v>
      </c>
      <c r="AQ43" s="136">
        <f>ROUND(AK43*AN43, 0)</f>
        <v>0</v>
      </c>
      <c r="AR43" s="4">
        <f>ROUND(AK43*AO43, 0)</f>
        <v>0</v>
      </c>
      <c r="AS43" s="4">
        <f>AQ43+AR43</f>
        <v>0</v>
      </c>
      <c r="AT43" s="18"/>
      <c r="AU43" s="12">
        <f>'Monthly Budget'!AI43</f>
        <v>0</v>
      </c>
      <c r="AV43" s="41">
        <f>AU43/12*1040</f>
        <v>0</v>
      </c>
      <c r="AW43" s="58">
        <f>AL43*1.02</f>
        <v>0</v>
      </c>
      <c r="AX43" s="19">
        <f>AW43/9</f>
        <v>0</v>
      </c>
      <c r="AY43" s="97">
        <f>AW43/(1040)</f>
        <v>0</v>
      </c>
      <c r="AZ43" s="97">
        <f>AY43*Rates!F$6</f>
        <v>0</v>
      </c>
      <c r="BA43" s="97">
        <f>AY43+AZ43</f>
        <v>0</v>
      </c>
      <c r="BB43" s="136">
        <f>ROUND(AV43*AY43, 0)</f>
        <v>0</v>
      </c>
      <c r="BC43" s="4">
        <f>ROUND(AV43*AZ43, 0)</f>
        <v>0</v>
      </c>
      <c r="BD43" s="4">
        <f>BB43+BC43</f>
        <v>0</v>
      </c>
      <c r="BE43" s="18"/>
      <c r="BF43" s="148">
        <f t="shared" si="32"/>
        <v>0</v>
      </c>
    </row>
    <row r="44" spans="1:58" ht="15" customHeight="1" x14ac:dyDescent="0.6">
      <c r="A44" s="210" t="str">
        <f>'Monthly Budget'!A44</f>
        <v>Name (AY)</v>
      </c>
      <c r="B44" s="210"/>
      <c r="C44" s="12">
        <f>'Monthly Budget'!C44</f>
        <v>0</v>
      </c>
      <c r="D44" s="41">
        <f>C44/9*780</f>
        <v>0</v>
      </c>
      <c r="E44" s="81">
        <f>'Monthly Budget'!E44</f>
        <v>0</v>
      </c>
      <c r="F44" s="4">
        <f>E44/9</f>
        <v>0</v>
      </c>
      <c r="G44" s="97">
        <f>E44/(780)</f>
        <v>0</v>
      </c>
      <c r="H44" s="97">
        <f>G44*Rates!B$6</f>
        <v>0</v>
      </c>
      <c r="I44" s="97">
        <f t="shared" ref="I44:I49" si="33">G44+H44</f>
        <v>0</v>
      </c>
      <c r="J44" s="136">
        <f t="shared" ref="J44:J49" si="34">ROUND(D44*G44, 0)</f>
        <v>0</v>
      </c>
      <c r="K44" s="4">
        <f t="shared" ref="K44:K49" si="35">D44*H44</f>
        <v>0</v>
      </c>
      <c r="L44" s="4">
        <f t="shared" ref="L44:L49" si="36">J44+K44</f>
        <v>0</v>
      </c>
      <c r="M44" s="18"/>
      <c r="N44" s="12">
        <f>'Monthly Budget'!K44</f>
        <v>0</v>
      </c>
      <c r="O44" s="41">
        <f>N44/9*780</f>
        <v>0</v>
      </c>
      <c r="P44" s="58">
        <f t="shared" ref="P44:P49" si="37">E44*1.02</f>
        <v>0</v>
      </c>
      <c r="Q44" s="19">
        <f>P44/9</f>
        <v>0</v>
      </c>
      <c r="R44" s="97">
        <f>P44/(780)</f>
        <v>0</v>
      </c>
      <c r="S44" s="97">
        <f>R44*Rates!C$6</f>
        <v>0</v>
      </c>
      <c r="T44" s="97">
        <f t="shared" ref="T44:T49" si="38">R44+S44</f>
        <v>0</v>
      </c>
      <c r="U44" s="136">
        <f t="shared" ref="U44:U49" si="39">ROUND(O44*R44, 0)</f>
        <v>0</v>
      </c>
      <c r="V44" s="4">
        <f t="shared" ref="V44:V49" si="40">ROUND(O44*S44, 0)</f>
        <v>0</v>
      </c>
      <c r="W44" s="4">
        <f t="shared" ref="W44:W49" si="41">U44+V44</f>
        <v>0</v>
      </c>
      <c r="X44" s="18"/>
      <c r="Y44" s="12">
        <f>'Monthly Budget'!S44</f>
        <v>0</v>
      </c>
      <c r="Z44" s="41">
        <f>Y44/9*780</f>
        <v>0</v>
      </c>
      <c r="AA44" s="58">
        <f t="shared" ref="AA44:AA49" si="42">P44*1.02</f>
        <v>0</v>
      </c>
      <c r="AB44" s="19">
        <f>AA44/9</f>
        <v>0</v>
      </c>
      <c r="AC44" s="97">
        <f>AA44/(780)</f>
        <v>0</v>
      </c>
      <c r="AD44" s="97">
        <f>AC44*Rates!D$6</f>
        <v>0</v>
      </c>
      <c r="AE44" s="97">
        <f t="shared" ref="AE44:AE49" si="43">AC44+AD44</f>
        <v>0</v>
      </c>
      <c r="AF44" s="136">
        <f t="shared" ref="AF44:AF49" si="44">ROUND(Z44*AC44, 0)</f>
        <v>0</v>
      </c>
      <c r="AG44" s="4">
        <f t="shared" ref="AG44:AG49" si="45">ROUND(Z44*AD44, 0)</f>
        <v>0</v>
      </c>
      <c r="AH44" s="4">
        <f t="shared" ref="AH44:AH49" si="46">AF44+AG44</f>
        <v>0</v>
      </c>
      <c r="AI44" s="18"/>
      <c r="AJ44" s="12">
        <f>'Monthly Budget'!AA44</f>
        <v>0</v>
      </c>
      <c r="AK44" s="41">
        <f>AJ44/9*780</f>
        <v>0</v>
      </c>
      <c r="AL44" s="58">
        <f t="shared" ref="AL44:AL49" si="47">AA44*1.02</f>
        <v>0</v>
      </c>
      <c r="AM44" s="19">
        <f>AL44/9</f>
        <v>0</v>
      </c>
      <c r="AN44" s="97">
        <f>AL44/(780)</f>
        <v>0</v>
      </c>
      <c r="AO44" s="97">
        <f>AN44*Rates!E$6</f>
        <v>0</v>
      </c>
      <c r="AP44" s="97">
        <f t="shared" ref="AP44:AP49" si="48">AN44+AO44</f>
        <v>0</v>
      </c>
      <c r="AQ44" s="136">
        <f t="shared" ref="AQ44:AQ49" si="49">ROUND(AK44*AN44, 0)</f>
        <v>0</v>
      </c>
      <c r="AR44" s="4">
        <f t="shared" ref="AR44:AR49" si="50">ROUND(AK44*AO44, 0)</f>
        <v>0</v>
      </c>
      <c r="AS44" s="4">
        <f t="shared" ref="AS44:AS49" si="51">AQ44+AR44</f>
        <v>0</v>
      </c>
      <c r="AT44" s="18"/>
      <c r="AU44" s="12">
        <f>'Monthly Budget'!AI44</f>
        <v>0</v>
      </c>
      <c r="AV44" s="41">
        <f>AU44/9*780</f>
        <v>0</v>
      </c>
      <c r="AW44" s="58">
        <f t="shared" ref="AW44:AW49" si="52">AL44*1.02</f>
        <v>0</v>
      </c>
      <c r="AX44" s="19">
        <f>AW44/9</f>
        <v>0</v>
      </c>
      <c r="AY44" s="97">
        <f>AW44/(780)</f>
        <v>0</v>
      </c>
      <c r="AZ44" s="97">
        <f>AY44*Rates!F$6</f>
        <v>0</v>
      </c>
      <c r="BA44" s="97">
        <f t="shared" ref="BA44:BA49" si="53">AY44+AZ44</f>
        <v>0</v>
      </c>
      <c r="BB44" s="136">
        <f t="shared" ref="BB44:BB49" si="54">ROUND(AV44*AY44, 0)</f>
        <v>0</v>
      </c>
      <c r="BC44" s="4">
        <f t="shared" ref="BC44:BC49" si="55">ROUND(AV44*AZ44, 0)</f>
        <v>0</v>
      </c>
      <c r="BD44" s="4">
        <f t="shared" ref="BD44:BD49" si="56">BB44+BC44</f>
        <v>0</v>
      </c>
      <c r="BE44" s="18"/>
      <c r="BF44" s="148">
        <f t="shared" si="32"/>
        <v>0</v>
      </c>
    </row>
    <row r="45" spans="1:58" ht="15" customHeight="1" x14ac:dyDescent="0.6">
      <c r="A45" s="210" t="str">
        <f>'Monthly Budget'!A45</f>
        <v>Name (AY)</v>
      </c>
      <c r="B45" s="210"/>
      <c r="C45" s="12">
        <f>'Monthly Budget'!C45</f>
        <v>0</v>
      </c>
      <c r="D45" s="41">
        <f t="shared" ref="D45:D46" si="57">C45/9*780</f>
        <v>0</v>
      </c>
      <c r="E45" s="81">
        <f>'Monthly Budget'!E45</f>
        <v>0</v>
      </c>
      <c r="F45" s="4">
        <f>E45/9</f>
        <v>0</v>
      </c>
      <c r="G45" s="97">
        <f t="shared" ref="G45:G46" si="58">E45/(780)</f>
        <v>0</v>
      </c>
      <c r="H45" s="97">
        <f>G45*Rates!B$6</f>
        <v>0</v>
      </c>
      <c r="I45" s="97">
        <f t="shared" si="33"/>
        <v>0</v>
      </c>
      <c r="J45" s="136">
        <f t="shared" si="34"/>
        <v>0</v>
      </c>
      <c r="K45" s="4">
        <f t="shared" si="35"/>
        <v>0</v>
      </c>
      <c r="L45" s="4">
        <f t="shared" si="36"/>
        <v>0</v>
      </c>
      <c r="M45" s="18"/>
      <c r="N45" s="12">
        <f>'Monthly Budget'!K45</f>
        <v>0</v>
      </c>
      <c r="O45" s="41">
        <f t="shared" ref="O45:O46" si="59">N45/9*780</f>
        <v>0</v>
      </c>
      <c r="P45" s="58">
        <f t="shared" si="37"/>
        <v>0</v>
      </c>
      <c r="Q45" s="19">
        <f>P45/9</f>
        <v>0</v>
      </c>
      <c r="R45" s="97">
        <f t="shared" ref="R45:R46" si="60">P45/(780)</f>
        <v>0</v>
      </c>
      <c r="S45" s="97">
        <f>R45*Rates!C$6</f>
        <v>0</v>
      </c>
      <c r="T45" s="97">
        <f t="shared" si="38"/>
        <v>0</v>
      </c>
      <c r="U45" s="136">
        <f t="shared" si="39"/>
        <v>0</v>
      </c>
      <c r="V45" s="4">
        <f t="shared" si="40"/>
        <v>0</v>
      </c>
      <c r="W45" s="4">
        <f t="shared" si="41"/>
        <v>0</v>
      </c>
      <c r="X45" s="18"/>
      <c r="Y45" s="12">
        <f>'Monthly Budget'!S45</f>
        <v>0</v>
      </c>
      <c r="Z45" s="41">
        <f t="shared" ref="Z45:Z46" si="61">Y45/9*780</f>
        <v>0</v>
      </c>
      <c r="AA45" s="58">
        <f t="shared" si="42"/>
        <v>0</v>
      </c>
      <c r="AB45" s="19">
        <f>AA45/9</f>
        <v>0</v>
      </c>
      <c r="AC45" s="97">
        <f t="shared" ref="AC45:AC46" si="62">AA45/(780)</f>
        <v>0</v>
      </c>
      <c r="AD45" s="97">
        <f>AC45*Rates!D$6</f>
        <v>0</v>
      </c>
      <c r="AE45" s="97">
        <f t="shared" si="43"/>
        <v>0</v>
      </c>
      <c r="AF45" s="136">
        <f t="shared" si="44"/>
        <v>0</v>
      </c>
      <c r="AG45" s="4">
        <f t="shared" si="45"/>
        <v>0</v>
      </c>
      <c r="AH45" s="4">
        <f t="shared" si="46"/>
        <v>0</v>
      </c>
      <c r="AI45" s="18"/>
      <c r="AJ45" s="12">
        <f>'Monthly Budget'!AA45</f>
        <v>0</v>
      </c>
      <c r="AK45" s="41">
        <f t="shared" ref="AK45:AK46" si="63">AJ45/9*780</f>
        <v>0</v>
      </c>
      <c r="AL45" s="58">
        <f t="shared" si="47"/>
        <v>0</v>
      </c>
      <c r="AM45" s="19">
        <f>AL45/9</f>
        <v>0</v>
      </c>
      <c r="AN45" s="97">
        <f t="shared" ref="AN45:AN46" si="64">AL45/(780)</f>
        <v>0</v>
      </c>
      <c r="AO45" s="97">
        <f>AN45*Rates!E$6</f>
        <v>0</v>
      </c>
      <c r="AP45" s="97">
        <f t="shared" si="48"/>
        <v>0</v>
      </c>
      <c r="AQ45" s="136">
        <f t="shared" si="49"/>
        <v>0</v>
      </c>
      <c r="AR45" s="4">
        <f t="shared" si="50"/>
        <v>0</v>
      </c>
      <c r="AS45" s="4">
        <f t="shared" si="51"/>
        <v>0</v>
      </c>
      <c r="AT45" s="18"/>
      <c r="AU45" s="12">
        <f>'Monthly Budget'!AI45</f>
        <v>0</v>
      </c>
      <c r="AV45" s="41">
        <f t="shared" ref="AV45:AV46" si="65">AU45/9*780</f>
        <v>0</v>
      </c>
      <c r="AW45" s="58">
        <f t="shared" si="52"/>
        <v>0</v>
      </c>
      <c r="AX45" s="19">
        <f>AW45/9</f>
        <v>0</v>
      </c>
      <c r="AY45" s="97">
        <f t="shared" ref="AY45:AY46" si="66">AW45/(780)</f>
        <v>0</v>
      </c>
      <c r="AZ45" s="97">
        <f>AY45*Rates!F$6</f>
        <v>0</v>
      </c>
      <c r="BA45" s="97">
        <f t="shared" si="53"/>
        <v>0</v>
      </c>
      <c r="BB45" s="136">
        <f t="shared" si="54"/>
        <v>0</v>
      </c>
      <c r="BC45" s="4">
        <f t="shared" si="55"/>
        <v>0</v>
      </c>
      <c r="BD45" s="4">
        <f t="shared" si="56"/>
        <v>0</v>
      </c>
      <c r="BE45" s="18"/>
      <c r="BF45" s="148">
        <f t="shared" si="32"/>
        <v>0</v>
      </c>
    </row>
    <row r="46" spans="1:58" ht="15" customHeight="1" x14ac:dyDescent="0.6">
      <c r="A46" s="210" t="str">
        <f>'Monthly Budget'!A46</f>
        <v>Name (AY)</v>
      </c>
      <c r="B46" s="210"/>
      <c r="C46" s="12">
        <f>'Monthly Budget'!C46</f>
        <v>0</v>
      </c>
      <c r="D46" s="41">
        <f t="shared" si="57"/>
        <v>0</v>
      </c>
      <c r="E46" s="81">
        <f>'Monthly Budget'!E46</f>
        <v>0</v>
      </c>
      <c r="F46" s="4">
        <f>E46/9</f>
        <v>0</v>
      </c>
      <c r="G46" s="97">
        <f t="shared" si="58"/>
        <v>0</v>
      </c>
      <c r="H46" s="97">
        <f>G46*Rates!B$6</f>
        <v>0</v>
      </c>
      <c r="I46" s="97">
        <f t="shared" si="33"/>
        <v>0</v>
      </c>
      <c r="J46" s="136">
        <f t="shared" si="34"/>
        <v>0</v>
      </c>
      <c r="K46" s="4">
        <f t="shared" si="35"/>
        <v>0</v>
      </c>
      <c r="L46" s="4">
        <f t="shared" si="36"/>
        <v>0</v>
      </c>
      <c r="M46" s="18"/>
      <c r="N46" s="12">
        <f>'Monthly Budget'!K46</f>
        <v>0</v>
      </c>
      <c r="O46" s="41">
        <f t="shared" si="59"/>
        <v>0</v>
      </c>
      <c r="P46" s="58">
        <f t="shared" si="37"/>
        <v>0</v>
      </c>
      <c r="Q46" s="19">
        <f>P46/9</f>
        <v>0</v>
      </c>
      <c r="R46" s="97">
        <f t="shared" si="60"/>
        <v>0</v>
      </c>
      <c r="S46" s="97">
        <f>R46*Rates!C$6</f>
        <v>0</v>
      </c>
      <c r="T46" s="97">
        <f t="shared" si="38"/>
        <v>0</v>
      </c>
      <c r="U46" s="136">
        <f t="shared" si="39"/>
        <v>0</v>
      </c>
      <c r="V46" s="4">
        <f t="shared" si="40"/>
        <v>0</v>
      </c>
      <c r="W46" s="4">
        <f t="shared" si="41"/>
        <v>0</v>
      </c>
      <c r="X46" s="18"/>
      <c r="Y46" s="12">
        <f>'Monthly Budget'!S46</f>
        <v>0</v>
      </c>
      <c r="Z46" s="41">
        <f t="shared" si="61"/>
        <v>0</v>
      </c>
      <c r="AA46" s="58">
        <f t="shared" si="42"/>
        <v>0</v>
      </c>
      <c r="AB46" s="19">
        <f>AA46/9</f>
        <v>0</v>
      </c>
      <c r="AC46" s="97">
        <f t="shared" si="62"/>
        <v>0</v>
      </c>
      <c r="AD46" s="97">
        <f>AC46*Rates!D$6</f>
        <v>0</v>
      </c>
      <c r="AE46" s="97">
        <f t="shared" si="43"/>
        <v>0</v>
      </c>
      <c r="AF46" s="136">
        <f t="shared" si="44"/>
        <v>0</v>
      </c>
      <c r="AG46" s="4">
        <f t="shared" si="45"/>
        <v>0</v>
      </c>
      <c r="AH46" s="4">
        <f t="shared" si="46"/>
        <v>0</v>
      </c>
      <c r="AI46" s="18"/>
      <c r="AJ46" s="12">
        <f>'Monthly Budget'!AA46</f>
        <v>0</v>
      </c>
      <c r="AK46" s="41">
        <f t="shared" si="63"/>
        <v>0</v>
      </c>
      <c r="AL46" s="58">
        <f t="shared" si="47"/>
        <v>0</v>
      </c>
      <c r="AM46" s="19">
        <f>AL46/9</f>
        <v>0</v>
      </c>
      <c r="AN46" s="97">
        <f t="shared" si="64"/>
        <v>0</v>
      </c>
      <c r="AO46" s="97">
        <f>AN46*Rates!E$6</f>
        <v>0</v>
      </c>
      <c r="AP46" s="97">
        <f t="shared" si="48"/>
        <v>0</v>
      </c>
      <c r="AQ46" s="136">
        <f t="shared" si="49"/>
        <v>0</v>
      </c>
      <c r="AR46" s="4">
        <f t="shared" si="50"/>
        <v>0</v>
      </c>
      <c r="AS46" s="4">
        <f t="shared" si="51"/>
        <v>0</v>
      </c>
      <c r="AT46" s="18"/>
      <c r="AU46" s="12">
        <f>'Monthly Budget'!AI46</f>
        <v>0</v>
      </c>
      <c r="AV46" s="41">
        <f t="shared" si="65"/>
        <v>0</v>
      </c>
      <c r="AW46" s="58">
        <f t="shared" si="52"/>
        <v>0</v>
      </c>
      <c r="AX46" s="19">
        <f>AW46/9</f>
        <v>0</v>
      </c>
      <c r="AY46" s="97">
        <f t="shared" si="66"/>
        <v>0</v>
      </c>
      <c r="AZ46" s="97">
        <f>AY46*Rates!F$6</f>
        <v>0</v>
      </c>
      <c r="BA46" s="97">
        <f t="shared" si="53"/>
        <v>0</v>
      </c>
      <c r="BB46" s="136">
        <f t="shared" si="54"/>
        <v>0</v>
      </c>
      <c r="BC46" s="4">
        <f t="shared" si="55"/>
        <v>0</v>
      </c>
      <c r="BD46" s="4">
        <f t="shared" si="56"/>
        <v>0</v>
      </c>
      <c r="BE46" s="18"/>
      <c r="BF46" s="148">
        <f t="shared" si="32"/>
        <v>0</v>
      </c>
    </row>
    <row r="47" spans="1:58" ht="15" customHeight="1" x14ac:dyDescent="0.6">
      <c r="A47" s="210" t="str">
        <f>'Monthly Budget'!A47</f>
        <v>Name (Summer)</v>
      </c>
      <c r="B47" s="210"/>
      <c r="C47" s="12">
        <f>'Monthly Budget'!C47</f>
        <v>0</v>
      </c>
      <c r="D47" s="41">
        <f>C47/3*260</f>
        <v>0</v>
      </c>
      <c r="E47" s="81">
        <f>'Monthly Budget'!E47</f>
        <v>0</v>
      </c>
      <c r="F47" s="4">
        <f>E47/3</f>
        <v>0</v>
      </c>
      <c r="G47" s="97">
        <f>E47/(260)</f>
        <v>0</v>
      </c>
      <c r="H47" s="97">
        <f>G47*Rates!B$6</f>
        <v>0</v>
      </c>
      <c r="I47" s="97">
        <f t="shared" si="33"/>
        <v>0</v>
      </c>
      <c r="J47" s="136">
        <f t="shared" si="34"/>
        <v>0</v>
      </c>
      <c r="K47" s="4">
        <f t="shared" si="35"/>
        <v>0</v>
      </c>
      <c r="L47" s="4">
        <f t="shared" si="36"/>
        <v>0</v>
      </c>
      <c r="M47" s="18"/>
      <c r="N47" s="12">
        <f>'Monthly Budget'!K47</f>
        <v>0</v>
      </c>
      <c r="O47" s="41">
        <f>N47/3*260</f>
        <v>0</v>
      </c>
      <c r="P47" s="58">
        <f t="shared" si="37"/>
        <v>0</v>
      </c>
      <c r="Q47" s="19">
        <f>P47/3</f>
        <v>0</v>
      </c>
      <c r="R47" s="97">
        <f>P47/(260)</f>
        <v>0</v>
      </c>
      <c r="S47" s="97">
        <f>R47*Rates!C$6</f>
        <v>0</v>
      </c>
      <c r="T47" s="97">
        <f t="shared" si="38"/>
        <v>0</v>
      </c>
      <c r="U47" s="136">
        <f t="shared" si="39"/>
        <v>0</v>
      </c>
      <c r="V47" s="4">
        <f t="shared" si="40"/>
        <v>0</v>
      </c>
      <c r="W47" s="4">
        <f t="shared" si="41"/>
        <v>0</v>
      </c>
      <c r="X47" s="18"/>
      <c r="Y47" s="12">
        <f>'Monthly Budget'!S47</f>
        <v>0</v>
      </c>
      <c r="Z47" s="41">
        <f>Y47/3*260</f>
        <v>0</v>
      </c>
      <c r="AA47" s="58">
        <f t="shared" si="42"/>
        <v>0</v>
      </c>
      <c r="AB47" s="19">
        <f>AA47/3</f>
        <v>0</v>
      </c>
      <c r="AC47" s="97">
        <f>AA47/(260)</f>
        <v>0</v>
      </c>
      <c r="AD47" s="97">
        <f>AC47*Rates!D$6</f>
        <v>0</v>
      </c>
      <c r="AE47" s="97">
        <f t="shared" si="43"/>
        <v>0</v>
      </c>
      <c r="AF47" s="136">
        <f t="shared" si="44"/>
        <v>0</v>
      </c>
      <c r="AG47" s="4">
        <f t="shared" si="45"/>
        <v>0</v>
      </c>
      <c r="AH47" s="4">
        <f t="shared" si="46"/>
        <v>0</v>
      </c>
      <c r="AI47" s="18"/>
      <c r="AJ47" s="12">
        <f>'Monthly Budget'!AA47</f>
        <v>0</v>
      </c>
      <c r="AK47" s="41">
        <f>AJ47/3*260</f>
        <v>0</v>
      </c>
      <c r="AL47" s="58">
        <f t="shared" si="47"/>
        <v>0</v>
      </c>
      <c r="AM47" s="19">
        <f>AL47/3</f>
        <v>0</v>
      </c>
      <c r="AN47" s="97">
        <f>AL47/(260)</f>
        <v>0</v>
      </c>
      <c r="AO47" s="97">
        <f>AN47*Rates!E$6</f>
        <v>0</v>
      </c>
      <c r="AP47" s="97">
        <f t="shared" si="48"/>
        <v>0</v>
      </c>
      <c r="AQ47" s="136">
        <f t="shared" si="49"/>
        <v>0</v>
      </c>
      <c r="AR47" s="4">
        <f t="shared" si="50"/>
        <v>0</v>
      </c>
      <c r="AS47" s="4">
        <f t="shared" si="51"/>
        <v>0</v>
      </c>
      <c r="AT47" s="18"/>
      <c r="AU47" s="12">
        <f>'Monthly Budget'!AI47</f>
        <v>0</v>
      </c>
      <c r="AV47" s="41">
        <f>AU47/3*260</f>
        <v>0</v>
      </c>
      <c r="AW47" s="58">
        <f t="shared" si="52"/>
        <v>0</v>
      </c>
      <c r="AX47" s="19">
        <f>AW47/3</f>
        <v>0</v>
      </c>
      <c r="AY47" s="97">
        <f>AW47/(260)</f>
        <v>0</v>
      </c>
      <c r="AZ47" s="97">
        <f>AY47*Rates!F$6</f>
        <v>0</v>
      </c>
      <c r="BA47" s="97">
        <f t="shared" si="53"/>
        <v>0</v>
      </c>
      <c r="BB47" s="136">
        <f t="shared" si="54"/>
        <v>0</v>
      </c>
      <c r="BC47" s="4">
        <f t="shared" si="55"/>
        <v>0</v>
      </c>
      <c r="BD47" s="4">
        <f t="shared" si="56"/>
        <v>0</v>
      </c>
      <c r="BE47" s="18"/>
      <c r="BF47" s="148">
        <f t="shared" si="32"/>
        <v>0</v>
      </c>
    </row>
    <row r="48" spans="1:58" ht="15" customHeight="1" x14ac:dyDescent="0.6">
      <c r="A48" s="210" t="str">
        <f>'Monthly Budget'!A48</f>
        <v>Name (Summer)</v>
      </c>
      <c r="B48" s="210"/>
      <c r="C48" s="12">
        <f>'Monthly Budget'!C48</f>
        <v>0</v>
      </c>
      <c r="D48" s="41">
        <f>C48/3*260</f>
        <v>0</v>
      </c>
      <c r="E48" s="81">
        <f>'Monthly Budget'!E48</f>
        <v>0</v>
      </c>
      <c r="F48" s="4">
        <f>E48/3</f>
        <v>0</v>
      </c>
      <c r="G48" s="97">
        <f>E48/(260)</f>
        <v>0</v>
      </c>
      <c r="H48" s="97">
        <f>G48*Rates!B$6</f>
        <v>0</v>
      </c>
      <c r="I48" s="97">
        <f t="shared" si="33"/>
        <v>0</v>
      </c>
      <c r="J48" s="136">
        <f t="shared" si="34"/>
        <v>0</v>
      </c>
      <c r="K48" s="4">
        <f t="shared" si="35"/>
        <v>0</v>
      </c>
      <c r="L48" s="4">
        <f t="shared" si="36"/>
        <v>0</v>
      </c>
      <c r="M48" s="18"/>
      <c r="N48" s="12">
        <f>'Monthly Budget'!K48</f>
        <v>0</v>
      </c>
      <c r="O48" s="41">
        <f>N48/3*260</f>
        <v>0</v>
      </c>
      <c r="P48" s="58">
        <f t="shared" si="37"/>
        <v>0</v>
      </c>
      <c r="Q48" s="19">
        <f>P48/3</f>
        <v>0</v>
      </c>
      <c r="R48" s="97">
        <f>P48/(260)</f>
        <v>0</v>
      </c>
      <c r="S48" s="97">
        <f>R48*Rates!C$6</f>
        <v>0</v>
      </c>
      <c r="T48" s="97">
        <f t="shared" si="38"/>
        <v>0</v>
      </c>
      <c r="U48" s="136">
        <f t="shared" si="39"/>
        <v>0</v>
      </c>
      <c r="V48" s="4">
        <f t="shared" si="40"/>
        <v>0</v>
      </c>
      <c r="W48" s="4">
        <f t="shared" si="41"/>
        <v>0</v>
      </c>
      <c r="X48" s="18"/>
      <c r="Y48" s="12">
        <f>'Monthly Budget'!S48</f>
        <v>0</v>
      </c>
      <c r="Z48" s="41">
        <f>Y48/3*260</f>
        <v>0</v>
      </c>
      <c r="AA48" s="58">
        <f t="shared" si="42"/>
        <v>0</v>
      </c>
      <c r="AB48" s="19">
        <f>AA48/3</f>
        <v>0</v>
      </c>
      <c r="AC48" s="97">
        <f>AA48/(260)</f>
        <v>0</v>
      </c>
      <c r="AD48" s="97">
        <f>AC48*Rates!D$6</f>
        <v>0</v>
      </c>
      <c r="AE48" s="97">
        <f t="shared" si="43"/>
        <v>0</v>
      </c>
      <c r="AF48" s="136">
        <f t="shared" si="44"/>
        <v>0</v>
      </c>
      <c r="AG48" s="4">
        <f t="shared" si="45"/>
        <v>0</v>
      </c>
      <c r="AH48" s="4">
        <f t="shared" si="46"/>
        <v>0</v>
      </c>
      <c r="AI48" s="18"/>
      <c r="AJ48" s="12">
        <f>'Monthly Budget'!AA48</f>
        <v>0</v>
      </c>
      <c r="AK48" s="41">
        <f>AJ48/3*260</f>
        <v>0</v>
      </c>
      <c r="AL48" s="58">
        <f t="shared" si="47"/>
        <v>0</v>
      </c>
      <c r="AM48" s="19">
        <f>AL48/3</f>
        <v>0</v>
      </c>
      <c r="AN48" s="97">
        <f>AL48/(260)</f>
        <v>0</v>
      </c>
      <c r="AO48" s="97">
        <f>AN48*Rates!E$6</f>
        <v>0</v>
      </c>
      <c r="AP48" s="97">
        <f t="shared" si="48"/>
        <v>0</v>
      </c>
      <c r="AQ48" s="136">
        <f t="shared" si="49"/>
        <v>0</v>
      </c>
      <c r="AR48" s="4">
        <f t="shared" si="50"/>
        <v>0</v>
      </c>
      <c r="AS48" s="4">
        <f t="shared" si="51"/>
        <v>0</v>
      </c>
      <c r="AT48" s="18"/>
      <c r="AU48" s="12">
        <f>'Monthly Budget'!AI48</f>
        <v>0</v>
      </c>
      <c r="AV48" s="41">
        <f>AU48/3*260</f>
        <v>0</v>
      </c>
      <c r="AW48" s="58">
        <f t="shared" si="52"/>
        <v>0</v>
      </c>
      <c r="AX48" s="19">
        <f>AW48/3</f>
        <v>0</v>
      </c>
      <c r="AY48" s="97">
        <f>AW48/(260)</f>
        <v>0</v>
      </c>
      <c r="AZ48" s="97">
        <f>AY48*Rates!F$6</f>
        <v>0</v>
      </c>
      <c r="BA48" s="97">
        <f t="shared" si="53"/>
        <v>0</v>
      </c>
      <c r="BB48" s="136">
        <f t="shared" si="54"/>
        <v>0</v>
      </c>
      <c r="BC48" s="4">
        <f t="shared" si="55"/>
        <v>0</v>
      </c>
      <c r="BD48" s="4">
        <f t="shared" si="56"/>
        <v>0</v>
      </c>
      <c r="BE48" s="18"/>
      <c r="BF48" s="148">
        <f t="shared" si="32"/>
        <v>0</v>
      </c>
    </row>
    <row r="49" spans="1:58" ht="15" customHeight="1" thickBot="1" x14ac:dyDescent="0.75">
      <c r="A49" s="210" t="str">
        <f>'Monthly Budget'!A49</f>
        <v>Name (Summer)</v>
      </c>
      <c r="B49" s="210"/>
      <c r="C49" s="12">
        <f>'Monthly Budget'!C49</f>
        <v>0</v>
      </c>
      <c r="D49" s="41">
        <f>C49/3*260</f>
        <v>0</v>
      </c>
      <c r="E49" s="81">
        <f>'Monthly Budget'!E49</f>
        <v>0</v>
      </c>
      <c r="F49" s="4">
        <f>E49/3</f>
        <v>0</v>
      </c>
      <c r="G49" s="97">
        <f>E49/(260)</f>
        <v>0</v>
      </c>
      <c r="H49" s="97">
        <f>G49*Rates!B$6</f>
        <v>0</v>
      </c>
      <c r="I49" s="97">
        <f t="shared" si="33"/>
        <v>0</v>
      </c>
      <c r="J49" s="136">
        <f t="shared" si="34"/>
        <v>0</v>
      </c>
      <c r="K49" s="4">
        <f t="shared" si="35"/>
        <v>0</v>
      </c>
      <c r="L49" s="4">
        <f t="shared" si="36"/>
        <v>0</v>
      </c>
      <c r="M49" s="18"/>
      <c r="N49" s="12">
        <f>'Monthly Budget'!K49</f>
        <v>0</v>
      </c>
      <c r="O49" s="41">
        <f>N49/3*260</f>
        <v>0</v>
      </c>
      <c r="P49" s="58">
        <f t="shared" si="37"/>
        <v>0</v>
      </c>
      <c r="Q49" s="19">
        <f>P49/3</f>
        <v>0</v>
      </c>
      <c r="R49" s="97">
        <f>P49/(260)</f>
        <v>0</v>
      </c>
      <c r="S49" s="97">
        <f>R49*Rates!C$6</f>
        <v>0</v>
      </c>
      <c r="T49" s="97">
        <f t="shared" si="38"/>
        <v>0</v>
      </c>
      <c r="U49" s="136">
        <f t="shared" si="39"/>
        <v>0</v>
      </c>
      <c r="V49" s="4">
        <f t="shared" si="40"/>
        <v>0</v>
      </c>
      <c r="W49" s="4">
        <f t="shared" si="41"/>
        <v>0</v>
      </c>
      <c r="X49" s="18"/>
      <c r="Y49" s="12">
        <f>'Monthly Budget'!S49</f>
        <v>0</v>
      </c>
      <c r="Z49" s="41">
        <f>Y49/3*260</f>
        <v>0</v>
      </c>
      <c r="AA49" s="58">
        <f t="shared" si="42"/>
        <v>0</v>
      </c>
      <c r="AB49" s="19">
        <f>AA49/3</f>
        <v>0</v>
      </c>
      <c r="AC49" s="97">
        <f>AA49/(260)</f>
        <v>0</v>
      </c>
      <c r="AD49" s="97">
        <f>AC49*Rates!D$6</f>
        <v>0</v>
      </c>
      <c r="AE49" s="97">
        <f t="shared" si="43"/>
        <v>0</v>
      </c>
      <c r="AF49" s="136">
        <f t="shared" si="44"/>
        <v>0</v>
      </c>
      <c r="AG49" s="4">
        <f t="shared" si="45"/>
        <v>0</v>
      </c>
      <c r="AH49" s="4">
        <f t="shared" si="46"/>
        <v>0</v>
      </c>
      <c r="AI49" s="18"/>
      <c r="AJ49" s="12">
        <f>'Monthly Budget'!AA49</f>
        <v>0</v>
      </c>
      <c r="AK49" s="41">
        <f>AJ49/3*260</f>
        <v>0</v>
      </c>
      <c r="AL49" s="58">
        <f t="shared" si="47"/>
        <v>0</v>
      </c>
      <c r="AM49" s="19">
        <f>AL49/3</f>
        <v>0</v>
      </c>
      <c r="AN49" s="97">
        <f>AL49/(260)</f>
        <v>0</v>
      </c>
      <c r="AO49" s="97">
        <f>AN49*Rates!E$6</f>
        <v>0</v>
      </c>
      <c r="AP49" s="97">
        <f t="shared" si="48"/>
        <v>0</v>
      </c>
      <c r="AQ49" s="136">
        <f t="shared" si="49"/>
        <v>0</v>
      </c>
      <c r="AR49" s="4">
        <f t="shared" si="50"/>
        <v>0</v>
      </c>
      <c r="AS49" s="4">
        <f t="shared" si="51"/>
        <v>0</v>
      </c>
      <c r="AT49" s="18"/>
      <c r="AU49" s="12">
        <f>'Monthly Budget'!AI49</f>
        <v>0</v>
      </c>
      <c r="AV49" s="41">
        <f>AU49/3*260</f>
        <v>0</v>
      </c>
      <c r="AW49" s="58">
        <f t="shared" si="52"/>
        <v>0</v>
      </c>
      <c r="AX49" s="19">
        <f>AW49/3</f>
        <v>0</v>
      </c>
      <c r="AY49" s="97">
        <f>AW49/(260)</f>
        <v>0</v>
      </c>
      <c r="AZ49" s="97">
        <f>AY49*Rates!F$6</f>
        <v>0</v>
      </c>
      <c r="BA49" s="97">
        <f t="shared" si="53"/>
        <v>0</v>
      </c>
      <c r="BB49" s="136">
        <f t="shared" si="54"/>
        <v>0</v>
      </c>
      <c r="BC49" s="4">
        <f t="shared" si="55"/>
        <v>0</v>
      </c>
      <c r="BD49" s="4">
        <f t="shared" si="56"/>
        <v>0</v>
      </c>
      <c r="BE49" s="18"/>
      <c r="BF49" s="148">
        <f t="shared" si="32"/>
        <v>0</v>
      </c>
    </row>
    <row r="50" spans="1:58" ht="15" customHeight="1" thickTop="1" x14ac:dyDescent="0.6">
      <c r="A50" s="211" t="s">
        <v>0</v>
      </c>
      <c r="B50" s="212"/>
      <c r="C50" s="62"/>
      <c r="D50" s="62"/>
      <c r="E50" s="82"/>
      <c r="F50" s="63"/>
      <c r="G50" s="98"/>
      <c r="H50" s="98"/>
      <c r="I50" s="98"/>
      <c r="J50" s="138">
        <f>ROUND(SUM(J41:J49), 0)</f>
        <v>0</v>
      </c>
      <c r="K50" s="63"/>
      <c r="L50" s="63"/>
      <c r="M50" s="64"/>
      <c r="N50" s="62"/>
      <c r="O50" s="62"/>
      <c r="P50" s="82"/>
      <c r="Q50" s="67"/>
      <c r="R50" s="98"/>
      <c r="S50" s="98"/>
      <c r="T50" s="98"/>
      <c r="U50" s="138">
        <f>ROUND(SUM(U41:U49), 0)</f>
        <v>0</v>
      </c>
      <c r="V50" s="63"/>
      <c r="W50" s="63"/>
      <c r="X50" s="64"/>
      <c r="Y50" s="62"/>
      <c r="Z50" s="62"/>
      <c r="AA50" s="82"/>
      <c r="AB50" s="67"/>
      <c r="AC50" s="98"/>
      <c r="AD50" s="98"/>
      <c r="AE50" s="98"/>
      <c r="AF50" s="138">
        <f>ROUND(SUM(AF41:AF49), 0)</f>
        <v>0</v>
      </c>
      <c r="AG50" s="63"/>
      <c r="AH50" s="63"/>
      <c r="AI50" s="64"/>
      <c r="AJ50" s="62"/>
      <c r="AK50" s="62"/>
      <c r="AL50" s="82"/>
      <c r="AM50" s="67"/>
      <c r="AN50" s="98"/>
      <c r="AO50" s="98"/>
      <c r="AP50" s="98"/>
      <c r="AQ50" s="138">
        <f>ROUND(SUM(AQ41:AQ49), 0)</f>
        <v>0</v>
      </c>
      <c r="AR50" s="63"/>
      <c r="AS50" s="63"/>
      <c r="AT50" s="64"/>
      <c r="AU50" s="62"/>
      <c r="AV50" s="62"/>
      <c r="AW50" s="82"/>
      <c r="AX50" s="67"/>
      <c r="AY50" s="98"/>
      <c r="AZ50" s="98"/>
      <c r="BA50" s="98"/>
      <c r="BB50" s="138">
        <f>ROUND(SUM(BB41:BB49), 0)</f>
        <v>0</v>
      </c>
      <c r="BC50" s="63"/>
      <c r="BD50" s="63"/>
      <c r="BE50" s="64"/>
      <c r="BF50" s="149">
        <f t="shared" si="32"/>
        <v>0</v>
      </c>
    </row>
    <row r="51" spans="1:58" ht="15" customHeight="1" x14ac:dyDescent="0.6">
      <c r="A51" s="216" t="s">
        <v>85</v>
      </c>
      <c r="B51" s="210"/>
      <c r="C51" s="43"/>
      <c r="D51" s="43"/>
      <c r="E51" s="58"/>
      <c r="J51" s="136">
        <f>ROUND(J50*Rates!B6, 0)</f>
        <v>0</v>
      </c>
      <c r="M51" s="18"/>
      <c r="N51" s="43"/>
      <c r="O51" s="43"/>
      <c r="U51" s="136">
        <f>ROUND(U50*Rates!C6, 0)</f>
        <v>0</v>
      </c>
      <c r="X51" s="18"/>
      <c r="Y51" s="43"/>
      <c r="Z51" s="43"/>
      <c r="AF51" s="136">
        <f>ROUND(AF50*Rates!D6, 0)</f>
        <v>0</v>
      </c>
      <c r="AI51" s="18"/>
      <c r="AJ51" s="43"/>
      <c r="AK51" s="43"/>
      <c r="AQ51" s="136">
        <f>ROUND(AQ50*Rates!E6, 0)</f>
        <v>0</v>
      </c>
      <c r="AT51" s="18"/>
      <c r="AU51" s="43"/>
      <c r="AV51" s="43"/>
      <c r="BB51" s="136">
        <f>ROUND(BB50*Rates!F6, 0)</f>
        <v>0</v>
      </c>
      <c r="BE51" s="18"/>
      <c r="BF51" s="148">
        <f t="shared" si="32"/>
        <v>0</v>
      </c>
    </row>
    <row r="52" spans="1:58" ht="15" customHeight="1" x14ac:dyDescent="0.6">
      <c r="A52" s="209" t="s">
        <v>2</v>
      </c>
      <c r="B52" s="210"/>
      <c r="C52" s="43"/>
      <c r="D52" s="43"/>
      <c r="E52" s="58"/>
      <c r="J52" s="136">
        <f>ROUND(SUM(J50:J51), 0)</f>
        <v>0</v>
      </c>
      <c r="M52" s="18"/>
      <c r="N52" s="43"/>
      <c r="O52" s="43"/>
      <c r="U52" s="136">
        <f>ROUND(SUM(U50:U51), 0)</f>
        <v>0</v>
      </c>
      <c r="X52" s="18"/>
      <c r="Y52" s="43"/>
      <c r="Z52" s="43"/>
      <c r="AF52" s="136">
        <f>ROUND(SUM(AF50:AF51), 0)</f>
        <v>0</v>
      </c>
      <c r="AI52" s="18"/>
      <c r="AJ52" s="43"/>
      <c r="AK52" s="43"/>
      <c r="AQ52" s="136">
        <f>ROUND(SUM(AQ50:AQ51), 0)</f>
        <v>0</v>
      </c>
      <c r="AT52" s="18"/>
      <c r="AU52" s="43"/>
      <c r="AV52" s="43"/>
      <c r="BB52" s="136">
        <f>ROUND(SUM(BB50:BB51), 0)</f>
        <v>0</v>
      </c>
      <c r="BE52" s="18"/>
      <c r="BF52" s="148">
        <f t="shared" si="32"/>
        <v>0</v>
      </c>
    </row>
    <row r="53" spans="1:58" ht="15" customHeight="1" x14ac:dyDescent="0.6">
      <c r="A53" s="23"/>
      <c r="C53" s="43"/>
      <c r="D53" s="43"/>
      <c r="E53" s="58"/>
      <c r="M53" s="18"/>
      <c r="N53" s="43"/>
      <c r="O53" s="43"/>
      <c r="X53" s="18"/>
      <c r="Y53" s="43"/>
      <c r="Z53" s="43"/>
      <c r="AI53" s="18"/>
      <c r="AJ53" s="43"/>
      <c r="AK53" s="43"/>
      <c r="AT53" s="18"/>
      <c r="AU53" s="43"/>
      <c r="AV53" s="43"/>
      <c r="BE53" s="18"/>
      <c r="BF53" s="148"/>
    </row>
    <row r="54" spans="1:58" ht="15" customHeight="1" x14ac:dyDescent="0.7">
      <c r="A54" s="222" t="s">
        <v>35</v>
      </c>
      <c r="B54" s="223"/>
      <c r="C54" s="43"/>
      <c r="D54" s="43"/>
      <c r="E54" s="58"/>
      <c r="M54" s="18"/>
      <c r="N54" s="43"/>
      <c r="O54" s="43"/>
      <c r="X54" s="18"/>
      <c r="Y54" s="43"/>
      <c r="Z54" s="43"/>
      <c r="AI54" s="18"/>
      <c r="AJ54" s="43"/>
      <c r="AK54" s="43"/>
      <c r="AT54" s="18"/>
      <c r="AU54" s="43"/>
      <c r="AV54" s="43"/>
      <c r="BE54" s="18"/>
      <c r="BF54" s="148"/>
    </row>
    <row r="55" spans="1:58" ht="15" customHeight="1" x14ac:dyDescent="0.6">
      <c r="A55" s="209" t="str">
        <f>'Monthly Budget'!A55:B55</f>
        <v>TBN Undergraduate *Hourly</v>
      </c>
      <c r="B55" s="210"/>
      <c r="C55" s="12">
        <f>'Monthly Budget'!C55</f>
        <v>0</v>
      </c>
      <c r="D55" s="41">
        <f>C55/12*1040</f>
        <v>0</v>
      </c>
      <c r="E55" s="81">
        <f>'Monthly Budget'!E55</f>
        <v>0</v>
      </c>
      <c r="F55" s="4">
        <f>E55/12</f>
        <v>0</v>
      </c>
      <c r="G55" s="97">
        <f>E55/(1040)</f>
        <v>0</v>
      </c>
      <c r="H55" s="97">
        <f>G55*Rates!B$7</f>
        <v>0</v>
      </c>
      <c r="I55" s="97">
        <f>G55+H55</f>
        <v>0</v>
      </c>
      <c r="J55" s="136">
        <f>ROUND(D55*G55, 0)</f>
        <v>0</v>
      </c>
      <c r="K55" s="4">
        <f>D55*H55</f>
        <v>0</v>
      </c>
      <c r="L55" s="4">
        <f>J55+K55</f>
        <v>0</v>
      </c>
      <c r="M55" s="18"/>
      <c r="N55" s="12">
        <f>'Monthly Budget'!K55</f>
        <v>0</v>
      </c>
      <c r="O55" s="41">
        <f>N55/12*1040</f>
        <v>0</v>
      </c>
      <c r="P55" s="58">
        <f>E55*1.02</f>
        <v>0</v>
      </c>
      <c r="Q55" s="19">
        <f>P55/12</f>
        <v>0</v>
      </c>
      <c r="R55" s="97">
        <f>P55/(1040)</f>
        <v>0</v>
      </c>
      <c r="S55" s="97">
        <f>R55*Rates!C$7</f>
        <v>0</v>
      </c>
      <c r="T55" s="97">
        <f>R55+S55</f>
        <v>0</v>
      </c>
      <c r="U55" s="136">
        <f>ROUND(O55*R55, 0)</f>
        <v>0</v>
      </c>
      <c r="V55" s="4">
        <f>ROUND(O55*S55, 0)</f>
        <v>0</v>
      </c>
      <c r="W55" s="4">
        <f>U55+V55</f>
        <v>0</v>
      </c>
      <c r="X55" s="18"/>
      <c r="Y55" s="12">
        <f>'Monthly Budget'!S55</f>
        <v>0</v>
      </c>
      <c r="Z55" s="41">
        <f>Y55/12*1040</f>
        <v>0</v>
      </c>
      <c r="AA55" s="58">
        <f>P55*1.02</f>
        <v>0</v>
      </c>
      <c r="AB55" s="19">
        <f>AA55/12</f>
        <v>0</v>
      </c>
      <c r="AC55" s="97">
        <f>AA55/(1040)</f>
        <v>0</v>
      </c>
      <c r="AD55" s="97">
        <f>AC55*Rates!D$7</f>
        <v>0</v>
      </c>
      <c r="AE55" s="97">
        <f>AC55+AD55</f>
        <v>0</v>
      </c>
      <c r="AF55" s="136">
        <f>ROUND(Z55*AC55, 0)</f>
        <v>0</v>
      </c>
      <c r="AG55" s="4">
        <f>ROUND(Z55*AD55, 0)</f>
        <v>0</v>
      </c>
      <c r="AH55" s="4">
        <f>AF55+AG55</f>
        <v>0</v>
      </c>
      <c r="AI55" s="18"/>
      <c r="AJ55" s="12">
        <f>'Monthly Budget'!AA55</f>
        <v>0</v>
      </c>
      <c r="AK55" s="41">
        <f>AJ55/12*1040</f>
        <v>0</v>
      </c>
      <c r="AL55" s="58">
        <f>AA55*1.02</f>
        <v>0</v>
      </c>
      <c r="AM55" s="19">
        <f>AL55/12</f>
        <v>0</v>
      </c>
      <c r="AN55" s="97">
        <f>AL55/(1040)</f>
        <v>0</v>
      </c>
      <c r="AO55" s="97">
        <f>AN55*Rates!E$7</f>
        <v>0</v>
      </c>
      <c r="AP55" s="97">
        <f>AN55+AO55</f>
        <v>0</v>
      </c>
      <c r="AQ55" s="136">
        <f>ROUND(AK55*AN55, 0)</f>
        <v>0</v>
      </c>
      <c r="AR55" s="4">
        <f>ROUND(AK55*AO55, 0)</f>
        <v>0</v>
      </c>
      <c r="AS55" s="4">
        <f>AQ55+AR55</f>
        <v>0</v>
      </c>
      <c r="AT55" s="18"/>
      <c r="AU55" s="12">
        <f>'Monthly Budget'!AI55</f>
        <v>0</v>
      </c>
      <c r="AV55" s="41">
        <f>AU55/12*1040</f>
        <v>0</v>
      </c>
      <c r="AW55" s="58">
        <f>AL55*1.02</f>
        <v>0</v>
      </c>
      <c r="AX55" s="19">
        <f>AW55/12</f>
        <v>0</v>
      </c>
      <c r="AY55" s="97">
        <f>AW55/(1040)</f>
        <v>0</v>
      </c>
      <c r="AZ55" s="97">
        <f>AY55*Rates!F$7</f>
        <v>0</v>
      </c>
      <c r="BA55" s="97">
        <f>AY55+AZ55</f>
        <v>0</v>
      </c>
      <c r="BB55" s="136">
        <f>ROUND(AV55*AY55, 0)</f>
        <v>0</v>
      </c>
      <c r="BC55" s="4">
        <f>ROUND(AV55*AZ55, 0)</f>
        <v>0</v>
      </c>
      <c r="BD55" s="4">
        <f>BB55+BC55</f>
        <v>0</v>
      </c>
      <c r="BE55" s="18"/>
      <c r="BF55" s="148">
        <f t="shared" ref="BF55:BF60" si="67">J55+U55+AF55+AQ55+BB55</f>
        <v>0</v>
      </c>
    </row>
    <row r="56" spans="1:58" ht="15" customHeight="1" x14ac:dyDescent="0.6">
      <c r="A56" s="209" t="str">
        <f>'Monthly Budget'!A56:B56</f>
        <v>Name</v>
      </c>
      <c r="B56" s="210"/>
      <c r="C56" s="12">
        <f>'Monthly Budget'!C56</f>
        <v>0</v>
      </c>
      <c r="D56" s="41">
        <f>C56/12*1040</f>
        <v>0</v>
      </c>
      <c r="E56" s="81">
        <f>'Monthly Budget'!E56</f>
        <v>0</v>
      </c>
      <c r="F56" s="4">
        <f>E56/12</f>
        <v>0</v>
      </c>
      <c r="G56" s="97">
        <f>E56/(1040)</f>
        <v>0</v>
      </c>
      <c r="H56" s="97">
        <f>G56*Rates!B$7</f>
        <v>0</v>
      </c>
      <c r="I56" s="97">
        <f>G56+H56</f>
        <v>0</v>
      </c>
      <c r="J56" s="136">
        <f>ROUND(D56*G56, 0)</f>
        <v>0</v>
      </c>
      <c r="K56" s="4">
        <f>D56*H56</f>
        <v>0</v>
      </c>
      <c r="L56" s="4">
        <f>J56+K56</f>
        <v>0</v>
      </c>
      <c r="M56" s="18"/>
      <c r="N56" s="12">
        <f>'Monthly Budget'!K56</f>
        <v>0</v>
      </c>
      <c r="O56" s="41">
        <f>N56/12*1040</f>
        <v>0</v>
      </c>
      <c r="P56" s="58">
        <f>E56*1.02</f>
        <v>0</v>
      </c>
      <c r="Q56" s="19">
        <f>P56/12</f>
        <v>0</v>
      </c>
      <c r="R56" s="97">
        <f>P56/(1040)</f>
        <v>0</v>
      </c>
      <c r="S56" s="97">
        <f>R56*Rates!C$7</f>
        <v>0</v>
      </c>
      <c r="T56" s="97">
        <f>R56+S56</f>
        <v>0</v>
      </c>
      <c r="U56" s="136">
        <f>ROUND(O56*R56, 0)</f>
        <v>0</v>
      </c>
      <c r="V56" s="4">
        <f>ROUND(O56*S56, 0)</f>
        <v>0</v>
      </c>
      <c r="W56" s="4">
        <f>U56+V56</f>
        <v>0</v>
      </c>
      <c r="X56" s="18"/>
      <c r="Y56" s="12">
        <f>'Monthly Budget'!S56</f>
        <v>0</v>
      </c>
      <c r="Z56" s="41">
        <f>Y56/12*1040</f>
        <v>0</v>
      </c>
      <c r="AA56" s="58">
        <f>P56*1.02</f>
        <v>0</v>
      </c>
      <c r="AB56" s="19">
        <f>AA56/12</f>
        <v>0</v>
      </c>
      <c r="AC56" s="97">
        <f>AA56/(1040)</f>
        <v>0</v>
      </c>
      <c r="AD56" s="97">
        <f>AC56*Rates!D$7</f>
        <v>0</v>
      </c>
      <c r="AE56" s="97">
        <f>AC56+AD56</f>
        <v>0</v>
      </c>
      <c r="AF56" s="136">
        <f>ROUND(Z56*AC56, 0)</f>
        <v>0</v>
      </c>
      <c r="AG56" s="4">
        <f>ROUND(Z56*AD56, 0)</f>
        <v>0</v>
      </c>
      <c r="AH56" s="4">
        <f>AF56+AG56</f>
        <v>0</v>
      </c>
      <c r="AI56" s="18"/>
      <c r="AJ56" s="12">
        <f>'Monthly Budget'!AA56</f>
        <v>0</v>
      </c>
      <c r="AK56" s="41">
        <f>AJ56/12*1040</f>
        <v>0</v>
      </c>
      <c r="AL56" s="58">
        <f>AA56*1.02</f>
        <v>0</v>
      </c>
      <c r="AM56" s="19">
        <f>AL56/12</f>
        <v>0</v>
      </c>
      <c r="AN56" s="97">
        <f>AL56/(1040)</f>
        <v>0</v>
      </c>
      <c r="AO56" s="97">
        <f>AN56*Rates!E$7</f>
        <v>0</v>
      </c>
      <c r="AP56" s="97">
        <f>AN56+AO56</f>
        <v>0</v>
      </c>
      <c r="AQ56" s="136">
        <f>ROUND(AK56*AN56, 0)</f>
        <v>0</v>
      </c>
      <c r="AR56" s="4">
        <f>ROUND(AK56*AO56, 0)</f>
        <v>0</v>
      </c>
      <c r="AS56" s="4">
        <f>AQ56+AR56</f>
        <v>0</v>
      </c>
      <c r="AT56" s="18"/>
      <c r="AU56" s="12">
        <f>'Monthly Budget'!AI56</f>
        <v>0</v>
      </c>
      <c r="AV56" s="41">
        <f>AU56/12*1040</f>
        <v>0</v>
      </c>
      <c r="AW56" s="58">
        <f>AL56*1.02</f>
        <v>0</v>
      </c>
      <c r="AX56" s="19">
        <f>AW56/12</f>
        <v>0</v>
      </c>
      <c r="AY56" s="97">
        <f>AW56/(1040)</f>
        <v>0</v>
      </c>
      <c r="AZ56" s="97">
        <f>AY56*Rates!F$7</f>
        <v>0</v>
      </c>
      <c r="BA56" s="97">
        <f>AY56+AZ56</f>
        <v>0</v>
      </c>
      <c r="BB56" s="136">
        <f>ROUND(AV56*AY56, 0)</f>
        <v>0</v>
      </c>
      <c r="BC56" s="4">
        <f>ROUND(AV56*AZ56, 0)</f>
        <v>0</v>
      </c>
      <c r="BD56" s="4">
        <f>BB56+BC56</f>
        <v>0</v>
      </c>
      <c r="BE56" s="18"/>
      <c r="BF56" s="148">
        <f t="shared" si="67"/>
        <v>0</v>
      </c>
    </row>
    <row r="57" spans="1:58" ht="15" customHeight="1" thickBot="1" x14ac:dyDescent="0.75">
      <c r="A57" s="245" t="str">
        <f>'Monthly Budget'!A57:B57</f>
        <v>Name</v>
      </c>
      <c r="B57" s="246"/>
      <c r="C57" s="12">
        <f>'Monthly Budget'!C57</f>
        <v>0</v>
      </c>
      <c r="D57" s="41">
        <f>C57/12*1040</f>
        <v>0</v>
      </c>
      <c r="E57" s="81">
        <f>'Monthly Budget'!E57</f>
        <v>0</v>
      </c>
      <c r="F57" s="4">
        <f>E57/12</f>
        <v>0</v>
      </c>
      <c r="G57" s="97">
        <f>E57/(1040)</f>
        <v>0</v>
      </c>
      <c r="H57" s="97">
        <f>G57*Rates!B$7</f>
        <v>0</v>
      </c>
      <c r="I57" s="97">
        <f>G57+H57</f>
        <v>0</v>
      </c>
      <c r="J57" s="136">
        <f>ROUND(D57*G57, 0)</f>
        <v>0</v>
      </c>
      <c r="K57" s="4">
        <f>D57*H57</f>
        <v>0</v>
      </c>
      <c r="L57" s="4">
        <f>J57+K57</f>
        <v>0</v>
      </c>
      <c r="M57" s="18"/>
      <c r="N57" s="12">
        <f>'Monthly Budget'!K57</f>
        <v>0</v>
      </c>
      <c r="O57" s="41">
        <f>N57/12*1040</f>
        <v>0</v>
      </c>
      <c r="P57" s="58">
        <f>E57*1.02</f>
        <v>0</v>
      </c>
      <c r="Q57" s="19">
        <f>P57/12</f>
        <v>0</v>
      </c>
      <c r="R57" s="97">
        <f>P57/(1040)</f>
        <v>0</v>
      </c>
      <c r="S57" s="97">
        <f>R57*Rates!C$7</f>
        <v>0</v>
      </c>
      <c r="T57" s="97">
        <f>R57+S57</f>
        <v>0</v>
      </c>
      <c r="U57" s="136">
        <f>ROUND(O57*R57, 0)</f>
        <v>0</v>
      </c>
      <c r="V57" s="4">
        <f>ROUND(O57*S57, 0)</f>
        <v>0</v>
      </c>
      <c r="W57" s="4">
        <f>U57+V57</f>
        <v>0</v>
      </c>
      <c r="X57" s="18"/>
      <c r="Y57" s="12">
        <f>'Monthly Budget'!S57</f>
        <v>0</v>
      </c>
      <c r="Z57" s="41">
        <f>Y57/12*1040</f>
        <v>0</v>
      </c>
      <c r="AA57" s="58">
        <f>P57*1.02</f>
        <v>0</v>
      </c>
      <c r="AB57" s="19">
        <f>AA57/12</f>
        <v>0</v>
      </c>
      <c r="AC57" s="97">
        <f>AA57/(1040)</f>
        <v>0</v>
      </c>
      <c r="AD57" s="97">
        <f>AC57*Rates!D$7</f>
        <v>0</v>
      </c>
      <c r="AE57" s="97">
        <f>AC57+AD57</f>
        <v>0</v>
      </c>
      <c r="AF57" s="136">
        <f>ROUND(Z57*AC57, 0)</f>
        <v>0</v>
      </c>
      <c r="AG57" s="4">
        <f>ROUND(Z57*AD57, 0)</f>
        <v>0</v>
      </c>
      <c r="AH57" s="4">
        <f>AF57+AG57</f>
        <v>0</v>
      </c>
      <c r="AI57" s="18"/>
      <c r="AJ57" s="12">
        <f>'Monthly Budget'!AA57</f>
        <v>0</v>
      </c>
      <c r="AK57" s="41">
        <f>AJ57/12*1040</f>
        <v>0</v>
      </c>
      <c r="AL57" s="58">
        <f>AA57*1.02</f>
        <v>0</v>
      </c>
      <c r="AM57" s="19">
        <f>AL57/12</f>
        <v>0</v>
      </c>
      <c r="AN57" s="97">
        <f>AL57/(1040)</f>
        <v>0</v>
      </c>
      <c r="AO57" s="97">
        <f>AN57*Rates!E$7</f>
        <v>0</v>
      </c>
      <c r="AP57" s="97">
        <f>AN57+AO57</f>
        <v>0</v>
      </c>
      <c r="AQ57" s="136">
        <f>ROUND(AK57*AN57, 0)</f>
        <v>0</v>
      </c>
      <c r="AR57" s="4">
        <f>ROUND(AK57*AO57, 0)</f>
        <v>0</v>
      </c>
      <c r="AS57" s="4">
        <f>AQ57+AR57</f>
        <v>0</v>
      </c>
      <c r="AT57" s="18"/>
      <c r="AU57" s="12">
        <f>'Monthly Budget'!AI57</f>
        <v>0</v>
      </c>
      <c r="AV57" s="41">
        <f>AU57/12*1040</f>
        <v>0</v>
      </c>
      <c r="AW57" s="58">
        <f>AL57*1.02</f>
        <v>0</v>
      </c>
      <c r="AX57" s="19">
        <f>AW57/12</f>
        <v>0</v>
      </c>
      <c r="AY57" s="97">
        <f>AW57/(1040)</f>
        <v>0</v>
      </c>
      <c r="AZ57" s="97">
        <f>AY57*Rates!F$7</f>
        <v>0</v>
      </c>
      <c r="BA57" s="97">
        <f>AY57+AZ57</f>
        <v>0</v>
      </c>
      <c r="BB57" s="136">
        <f>ROUND(AV57*AY57, 0)</f>
        <v>0</v>
      </c>
      <c r="BC57" s="4">
        <f>ROUND(AV57*AZ57, 0)</f>
        <v>0</v>
      </c>
      <c r="BD57" s="4">
        <f>BB57+BC57</f>
        <v>0</v>
      </c>
      <c r="BE57" s="18"/>
      <c r="BF57" s="148">
        <f t="shared" si="67"/>
        <v>0</v>
      </c>
    </row>
    <row r="58" spans="1:58" ht="15" customHeight="1" thickTop="1" x14ac:dyDescent="0.6">
      <c r="A58" s="211" t="s">
        <v>0</v>
      </c>
      <c r="B58" s="212"/>
      <c r="C58" s="62"/>
      <c r="D58" s="62"/>
      <c r="E58" s="82"/>
      <c r="F58" s="63"/>
      <c r="G58" s="98"/>
      <c r="H58" s="98"/>
      <c r="I58" s="98"/>
      <c r="J58" s="138">
        <f>ROUND(SUM(J55:J57), 0)</f>
        <v>0</v>
      </c>
      <c r="K58" s="63"/>
      <c r="L58" s="63"/>
      <c r="M58" s="64"/>
      <c r="N58" s="62"/>
      <c r="O58" s="62"/>
      <c r="P58" s="82"/>
      <c r="Q58" s="67"/>
      <c r="R58" s="98"/>
      <c r="S58" s="98"/>
      <c r="T58" s="98"/>
      <c r="U58" s="138">
        <f>ROUND(SUM(U55:U57), 0)</f>
        <v>0</v>
      </c>
      <c r="V58" s="63"/>
      <c r="W58" s="63"/>
      <c r="X58" s="64"/>
      <c r="Y58" s="62"/>
      <c r="Z58" s="62"/>
      <c r="AA58" s="82"/>
      <c r="AB58" s="67"/>
      <c r="AC58" s="98"/>
      <c r="AD58" s="98"/>
      <c r="AE58" s="98"/>
      <c r="AF58" s="138">
        <f>ROUND(SUM(AF55:AF57), 0)</f>
        <v>0</v>
      </c>
      <c r="AG58" s="63"/>
      <c r="AH58" s="63"/>
      <c r="AI58" s="64"/>
      <c r="AJ58" s="62"/>
      <c r="AK58" s="62"/>
      <c r="AL58" s="82"/>
      <c r="AM58" s="67"/>
      <c r="AN58" s="98"/>
      <c r="AO58" s="98"/>
      <c r="AP58" s="98"/>
      <c r="AQ58" s="138">
        <f>ROUND(SUM(AQ55:AQ57), 0)</f>
        <v>0</v>
      </c>
      <c r="AR58" s="63"/>
      <c r="AS58" s="63"/>
      <c r="AT58" s="64"/>
      <c r="AU58" s="62"/>
      <c r="AV58" s="62"/>
      <c r="AW58" s="82"/>
      <c r="AX58" s="67"/>
      <c r="AY58" s="98"/>
      <c r="AZ58" s="98"/>
      <c r="BA58" s="98"/>
      <c r="BB58" s="138">
        <f>ROUND(SUM(BB55:BB57), 0)</f>
        <v>0</v>
      </c>
      <c r="BC58" s="63"/>
      <c r="BD58" s="63"/>
      <c r="BE58" s="64"/>
      <c r="BF58" s="149">
        <f t="shared" si="67"/>
        <v>0</v>
      </c>
    </row>
    <row r="59" spans="1:58" ht="15" customHeight="1" x14ac:dyDescent="0.6">
      <c r="A59" s="216" t="s">
        <v>77</v>
      </c>
      <c r="B59" s="210"/>
      <c r="C59" s="43"/>
      <c r="D59" s="43"/>
      <c r="E59" s="58"/>
      <c r="J59" s="136">
        <f>ROUND(J58*Rates!B7, 0)</f>
        <v>0</v>
      </c>
      <c r="M59" s="18"/>
      <c r="O59" s="43"/>
      <c r="U59" s="136">
        <f>ROUND(U58*Rates!C7, 0)</f>
        <v>0</v>
      </c>
      <c r="X59" s="18"/>
      <c r="Z59" s="43"/>
      <c r="AF59" s="136">
        <f>ROUND(AF58*Rates!D7, 0)</f>
        <v>0</v>
      </c>
      <c r="AI59" s="18"/>
      <c r="AK59" s="43"/>
      <c r="AQ59" s="136">
        <f>ROUND(AQ58*Rates!E7, 0)</f>
        <v>0</v>
      </c>
      <c r="AT59" s="18"/>
      <c r="AV59" s="43"/>
      <c r="BB59" s="136">
        <f>ROUND(BB58*Rates!F7, 0)</f>
        <v>0</v>
      </c>
      <c r="BE59" s="18"/>
      <c r="BF59" s="148">
        <f t="shared" si="67"/>
        <v>0</v>
      </c>
    </row>
    <row r="60" spans="1:58" ht="15" customHeight="1" x14ac:dyDescent="0.6">
      <c r="A60" s="209" t="s">
        <v>2</v>
      </c>
      <c r="B60" s="210"/>
      <c r="C60" s="43"/>
      <c r="D60" s="43"/>
      <c r="E60" s="58"/>
      <c r="J60" s="136">
        <f>ROUND(SUM(J58:J59), 0)</f>
        <v>0</v>
      </c>
      <c r="M60" s="18"/>
      <c r="O60" s="43"/>
      <c r="U60" s="136">
        <f>ROUND(SUM(U58:U59), 0)</f>
        <v>0</v>
      </c>
      <c r="X60" s="18"/>
      <c r="Z60" s="43"/>
      <c r="AF60" s="136">
        <f>ROUND(SUM(AF58:AF59), 0)</f>
        <v>0</v>
      </c>
      <c r="AI60" s="18"/>
      <c r="AK60" s="43"/>
      <c r="AQ60" s="136">
        <f>ROUND(SUM(AQ58:AQ59), 0)</f>
        <v>0</v>
      </c>
      <c r="AT60" s="18"/>
      <c r="AV60" s="43"/>
      <c r="BB60" s="136">
        <f>ROUND(SUM(BB58:BB59), 0)</f>
        <v>0</v>
      </c>
      <c r="BE60" s="18"/>
      <c r="BF60" s="148">
        <f t="shared" si="67"/>
        <v>0</v>
      </c>
    </row>
    <row r="61" spans="1:58" ht="15" customHeight="1" x14ac:dyDescent="0.6">
      <c r="A61" s="164"/>
      <c r="B61" s="165"/>
      <c r="C61" s="43"/>
      <c r="D61" s="43"/>
      <c r="E61" s="58"/>
      <c r="M61" s="18"/>
      <c r="O61" s="43"/>
      <c r="X61" s="18"/>
      <c r="Z61" s="43"/>
      <c r="AI61" s="18"/>
      <c r="AK61" s="43"/>
      <c r="AT61" s="18"/>
      <c r="AV61" s="43"/>
      <c r="BE61" s="18"/>
      <c r="BF61" s="148"/>
    </row>
    <row r="62" spans="1:58" ht="15" customHeight="1" x14ac:dyDescent="0.7">
      <c r="A62" s="222" t="s">
        <v>57</v>
      </c>
      <c r="B62" s="223"/>
      <c r="C62" s="43"/>
      <c r="D62" s="43"/>
      <c r="E62" s="58"/>
      <c r="M62" s="18"/>
      <c r="O62" s="43"/>
      <c r="X62" s="18"/>
      <c r="Z62" s="43"/>
      <c r="AI62" s="18"/>
      <c r="AK62" s="43"/>
      <c r="AT62" s="18"/>
      <c r="AV62" s="43"/>
      <c r="BE62" s="18"/>
      <c r="BF62" s="148"/>
    </row>
    <row r="63" spans="1:58" ht="15" customHeight="1" x14ac:dyDescent="0.6">
      <c r="A63" s="209" t="str">
        <f>'Monthly Budget'!A63</f>
        <v>Name</v>
      </c>
      <c r="B63" s="210"/>
      <c r="C63" s="12">
        <f>'Monthly Budget'!C63</f>
        <v>0</v>
      </c>
      <c r="D63" s="12">
        <f>C63/12*1950</f>
        <v>0</v>
      </c>
      <c r="E63" s="58">
        <f>'Monthly Budget'!E63</f>
        <v>0</v>
      </c>
      <c r="F63" s="4">
        <f>E63/12</f>
        <v>0</v>
      </c>
      <c r="G63" s="93">
        <f>E63/(1950)</f>
        <v>0</v>
      </c>
      <c r="H63" s="93">
        <f>G63*Rates!B$8</f>
        <v>0</v>
      </c>
      <c r="I63" s="93">
        <f>G63+H63</f>
        <v>0</v>
      </c>
      <c r="J63" s="136">
        <f>ROUND(D63*G63, 0)</f>
        <v>0</v>
      </c>
      <c r="K63" s="4">
        <f>D63*H63</f>
        <v>0</v>
      </c>
      <c r="L63" s="4">
        <f>J63+K63</f>
        <v>0</v>
      </c>
      <c r="M63" s="18"/>
      <c r="N63" s="12">
        <f>'Monthly Budget'!K63</f>
        <v>0</v>
      </c>
      <c r="O63" s="12">
        <f>N63/12*1950</f>
        <v>0</v>
      </c>
      <c r="P63" s="58">
        <f>E63*1.02</f>
        <v>0</v>
      </c>
      <c r="Q63" s="4">
        <f>P63/12</f>
        <v>0</v>
      </c>
      <c r="R63" s="93">
        <f>P63/(1950)</f>
        <v>0</v>
      </c>
      <c r="S63" s="93">
        <f>R63*Rates!C$8</f>
        <v>0</v>
      </c>
      <c r="T63" s="93">
        <f>R63+S63</f>
        <v>0</v>
      </c>
      <c r="U63" s="136">
        <f>ROUND(O63*R63, 0)</f>
        <v>0</v>
      </c>
      <c r="V63" s="4">
        <f>O63*S63</f>
        <v>0</v>
      </c>
      <c r="W63" s="4">
        <f>U63+V63</f>
        <v>0</v>
      </c>
      <c r="X63" s="18"/>
      <c r="Y63" s="12">
        <f>'Monthly Budget'!S63</f>
        <v>0</v>
      </c>
      <c r="Z63" s="12">
        <f>Y63/12*1950</f>
        <v>0</v>
      </c>
      <c r="AA63" s="58">
        <f>P63*1.02</f>
        <v>0</v>
      </c>
      <c r="AB63" s="4">
        <f>AA63/12</f>
        <v>0</v>
      </c>
      <c r="AC63" s="93">
        <f>AA63/(1950)</f>
        <v>0</v>
      </c>
      <c r="AD63" s="93">
        <f>AC63*Rates!D$8</f>
        <v>0</v>
      </c>
      <c r="AE63" s="93">
        <f>AC63+AD63</f>
        <v>0</v>
      </c>
      <c r="AF63" s="136">
        <f>ROUND(Z63*AC63, 0)</f>
        <v>0</v>
      </c>
      <c r="AG63" s="4">
        <f>Z63*AD63</f>
        <v>0</v>
      </c>
      <c r="AH63" s="4">
        <f>AF63+AG63</f>
        <v>0</v>
      </c>
      <c r="AI63" s="18"/>
      <c r="AJ63" s="12">
        <f>'Monthly Budget'!AA63</f>
        <v>0</v>
      </c>
      <c r="AK63" s="12">
        <f>AJ63/12*1950</f>
        <v>0</v>
      </c>
      <c r="AL63" s="58">
        <f>AA63*1.02</f>
        <v>0</v>
      </c>
      <c r="AM63" s="4">
        <f>AL63/12</f>
        <v>0</v>
      </c>
      <c r="AN63" s="93">
        <f>AL63/(1950)</f>
        <v>0</v>
      </c>
      <c r="AO63" s="93">
        <f>AN63*Rates!E$8</f>
        <v>0</v>
      </c>
      <c r="AP63" s="93">
        <f>AN63+AO63</f>
        <v>0</v>
      </c>
      <c r="AQ63" s="136">
        <f>ROUND(AK63*AN63, 0)</f>
        <v>0</v>
      </c>
      <c r="AR63" s="4">
        <f>AK63*AO63</f>
        <v>0</v>
      </c>
      <c r="AS63" s="4">
        <f>AQ63+AR63</f>
        <v>0</v>
      </c>
      <c r="AT63" s="18"/>
      <c r="AU63" s="12">
        <f>'Monthly Budget'!AI63</f>
        <v>0</v>
      </c>
      <c r="AV63" s="12">
        <f>AU63/12*1950</f>
        <v>0</v>
      </c>
      <c r="AW63" s="58">
        <f>AL63*1.02</f>
        <v>0</v>
      </c>
      <c r="AX63" s="4">
        <f>AW63/12</f>
        <v>0</v>
      </c>
      <c r="AY63" s="93">
        <f>AW63/(1950)</f>
        <v>0</v>
      </c>
      <c r="AZ63" s="93">
        <f>AY63*Rates!F$8</f>
        <v>0</v>
      </c>
      <c r="BA63" s="93">
        <f>AY63+AZ63</f>
        <v>0</v>
      </c>
      <c r="BB63" s="136">
        <f>ROUND(AV63*AY63, 0)</f>
        <v>0</v>
      </c>
      <c r="BC63" s="4">
        <f>AV63*AZ63</f>
        <v>0</v>
      </c>
      <c r="BD63" s="4">
        <f>BB63+BC63</f>
        <v>0</v>
      </c>
      <c r="BE63" s="18"/>
      <c r="BF63" s="148">
        <f t="shared" ref="BF63:BF68" si="68">J63+U63+AF63+AQ63+BB63</f>
        <v>0</v>
      </c>
    </row>
    <row r="64" spans="1:58" ht="15" customHeight="1" x14ac:dyDescent="0.6">
      <c r="A64" s="209" t="str">
        <f>'Monthly Budget'!A64</f>
        <v>Name</v>
      </c>
      <c r="B64" s="210"/>
      <c r="C64" s="12">
        <f>'Monthly Budget'!C64</f>
        <v>0</v>
      </c>
      <c r="D64" s="12">
        <f>C64/12*1950</f>
        <v>0</v>
      </c>
      <c r="E64" s="58">
        <f>'Monthly Budget'!E64</f>
        <v>0</v>
      </c>
      <c r="F64" s="4">
        <f>E64/12</f>
        <v>0</v>
      </c>
      <c r="G64" s="93">
        <f>E64/(1950)</f>
        <v>0</v>
      </c>
      <c r="H64" s="93">
        <f>G64*Rates!B$8</f>
        <v>0</v>
      </c>
      <c r="I64" s="93">
        <f>G64+H64</f>
        <v>0</v>
      </c>
      <c r="J64" s="136">
        <f>ROUND(D64*G64, 0)</f>
        <v>0</v>
      </c>
      <c r="K64" s="4">
        <f>D64*H64</f>
        <v>0</v>
      </c>
      <c r="L64" s="4">
        <f>J64+K64</f>
        <v>0</v>
      </c>
      <c r="M64" s="18"/>
      <c r="N64" s="12">
        <f>'Monthly Budget'!K64</f>
        <v>0</v>
      </c>
      <c r="O64" s="12">
        <f>N64/12*1950</f>
        <v>0</v>
      </c>
      <c r="P64" s="58">
        <f>E64*1.02</f>
        <v>0</v>
      </c>
      <c r="Q64" s="4">
        <f>P64/12</f>
        <v>0</v>
      </c>
      <c r="R64" s="93">
        <f>P64/(1950)</f>
        <v>0</v>
      </c>
      <c r="S64" s="93">
        <f>R64*Rates!C$8</f>
        <v>0</v>
      </c>
      <c r="T64" s="93">
        <f>R64+S64</f>
        <v>0</v>
      </c>
      <c r="U64" s="136">
        <f>ROUND(O64*R64, 0)</f>
        <v>0</v>
      </c>
      <c r="V64" s="4">
        <f>O64*S64</f>
        <v>0</v>
      </c>
      <c r="W64" s="4">
        <f>U64+V64</f>
        <v>0</v>
      </c>
      <c r="X64" s="18"/>
      <c r="Y64" s="12">
        <f>'Monthly Budget'!S64</f>
        <v>0</v>
      </c>
      <c r="Z64" s="12">
        <f>Y64/12*1950</f>
        <v>0</v>
      </c>
      <c r="AA64" s="58">
        <f>P64*1.02</f>
        <v>0</v>
      </c>
      <c r="AB64" s="4">
        <f>AA64/12</f>
        <v>0</v>
      </c>
      <c r="AC64" s="93">
        <f>AA64/(1950)</f>
        <v>0</v>
      </c>
      <c r="AD64" s="93">
        <f>AC64*Rates!D$8</f>
        <v>0</v>
      </c>
      <c r="AE64" s="93">
        <f>AC64+AD64</f>
        <v>0</v>
      </c>
      <c r="AF64" s="136">
        <f>ROUND(Z64*AC64, 0)</f>
        <v>0</v>
      </c>
      <c r="AG64" s="4">
        <f>Z64*AD64</f>
        <v>0</v>
      </c>
      <c r="AH64" s="4">
        <f>AF64+AG64</f>
        <v>0</v>
      </c>
      <c r="AI64" s="18"/>
      <c r="AJ64" s="12">
        <f>'Monthly Budget'!AA64</f>
        <v>0</v>
      </c>
      <c r="AK64" s="12">
        <f>AJ64/12*1950</f>
        <v>0</v>
      </c>
      <c r="AL64" s="58">
        <f>AA64*1.02</f>
        <v>0</v>
      </c>
      <c r="AM64" s="4">
        <f>AL64/12</f>
        <v>0</v>
      </c>
      <c r="AN64" s="93">
        <f>AL64/(1950)</f>
        <v>0</v>
      </c>
      <c r="AO64" s="93">
        <f>AN64*Rates!E$8</f>
        <v>0</v>
      </c>
      <c r="AP64" s="93">
        <f>AN64+AO64</f>
        <v>0</v>
      </c>
      <c r="AQ64" s="136">
        <f>ROUND(AK64*AN64, 0)</f>
        <v>0</v>
      </c>
      <c r="AR64" s="4">
        <f>AK64*AO64</f>
        <v>0</v>
      </c>
      <c r="AS64" s="4">
        <f>AQ64+AR64</f>
        <v>0</v>
      </c>
      <c r="AT64" s="18"/>
      <c r="AU64" s="12">
        <f>'Monthly Budget'!AI64</f>
        <v>0</v>
      </c>
      <c r="AV64" s="12">
        <f>AU64/12*1950</f>
        <v>0</v>
      </c>
      <c r="AW64" s="58">
        <f>AL64*1.02</f>
        <v>0</v>
      </c>
      <c r="AX64" s="4">
        <f>AW64/12</f>
        <v>0</v>
      </c>
      <c r="AY64" s="93">
        <f>AW64/(1950)</f>
        <v>0</v>
      </c>
      <c r="AZ64" s="93">
        <f>AY64*Rates!F$8</f>
        <v>0</v>
      </c>
      <c r="BA64" s="93">
        <f>AY64+AZ64</f>
        <v>0</v>
      </c>
      <c r="BB64" s="136">
        <f>ROUND(AV64*AY64, 0)</f>
        <v>0</v>
      </c>
      <c r="BC64" s="4">
        <f>AV64*AZ64</f>
        <v>0</v>
      </c>
      <c r="BD64" s="4">
        <f>BB64+BC64</f>
        <v>0</v>
      </c>
      <c r="BE64" s="18"/>
      <c r="BF64" s="148">
        <f t="shared" si="68"/>
        <v>0</v>
      </c>
    </row>
    <row r="65" spans="1:58" ht="15" customHeight="1" thickBot="1" x14ac:dyDescent="0.75">
      <c r="A65" s="245" t="str">
        <f>'Monthly Budget'!A65</f>
        <v>Name</v>
      </c>
      <c r="B65" s="246"/>
      <c r="C65" s="172">
        <f>'Monthly Budget'!C65</f>
        <v>0</v>
      </c>
      <c r="D65" s="172">
        <f>C65/12*1950</f>
        <v>0</v>
      </c>
      <c r="E65" s="168">
        <f>'Monthly Budget'!E65</f>
        <v>0</v>
      </c>
      <c r="F65" s="169">
        <f>E65/12</f>
        <v>0</v>
      </c>
      <c r="G65" s="174">
        <f>E65/(1950)</f>
        <v>0</v>
      </c>
      <c r="H65" s="174">
        <f>G65*Rates!B$8</f>
        <v>0</v>
      </c>
      <c r="I65" s="174">
        <f>G65+H65</f>
        <v>0</v>
      </c>
      <c r="J65" s="170">
        <f>ROUND(D65*G65, 0)</f>
        <v>0</v>
      </c>
      <c r="K65" s="169">
        <f>D65*H65</f>
        <v>0</v>
      </c>
      <c r="L65" s="169">
        <f>J65+K65</f>
        <v>0</v>
      </c>
      <c r="M65" s="171"/>
      <c r="N65" s="172">
        <f>'Monthly Budget'!K65</f>
        <v>0</v>
      </c>
      <c r="O65" s="172">
        <f>N65/12*1950</f>
        <v>0</v>
      </c>
      <c r="P65" s="168">
        <f>E65*1.02</f>
        <v>0</v>
      </c>
      <c r="Q65" s="169">
        <f>P65/12</f>
        <v>0</v>
      </c>
      <c r="R65" s="174">
        <f>P65/(1950)</f>
        <v>0</v>
      </c>
      <c r="S65" s="174">
        <f>R65*Rates!C$8</f>
        <v>0</v>
      </c>
      <c r="T65" s="174">
        <f>R65+S65</f>
        <v>0</v>
      </c>
      <c r="U65" s="170">
        <f>ROUND(O65*R65, 0)</f>
        <v>0</v>
      </c>
      <c r="V65" s="169">
        <f>O65*S65</f>
        <v>0</v>
      </c>
      <c r="W65" s="169">
        <f>U65+V65</f>
        <v>0</v>
      </c>
      <c r="X65" s="171"/>
      <c r="Y65" s="172">
        <f>'Monthly Budget'!S65</f>
        <v>0</v>
      </c>
      <c r="Z65" s="172">
        <f>Y65/12*1950</f>
        <v>0</v>
      </c>
      <c r="AA65" s="168">
        <f>P65*1.02</f>
        <v>0</v>
      </c>
      <c r="AB65" s="169">
        <f>AA65/12</f>
        <v>0</v>
      </c>
      <c r="AC65" s="174">
        <f>AA65/(1950)</f>
        <v>0</v>
      </c>
      <c r="AD65" s="174">
        <f>AC65*Rates!D$8</f>
        <v>0</v>
      </c>
      <c r="AE65" s="174">
        <f>AC65+AD65</f>
        <v>0</v>
      </c>
      <c r="AF65" s="170">
        <f>ROUND(Z65*AC65, 0)</f>
        <v>0</v>
      </c>
      <c r="AG65" s="169">
        <f>Z65*AD65</f>
        <v>0</v>
      </c>
      <c r="AH65" s="169">
        <f>AF65+AG65</f>
        <v>0</v>
      </c>
      <c r="AI65" s="171"/>
      <c r="AJ65" s="172">
        <f>'Monthly Budget'!AA65</f>
        <v>0</v>
      </c>
      <c r="AK65" s="172">
        <f>AJ65/12*1950</f>
        <v>0</v>
      </c>
      <c r="AL65" s="168">
        <f>AA65*1.02</f>
        <v>0</v>
      </c>
      <c r="AM65" s="169">
        <f>AL65/12</f>
        <v>0</v>
      </c>
      <c r="AN65" s="174">
        <f>AL65/(1950)</f>
        <v>0</v>
      </c>
      <c r="AO65" s="174">
        <f>AN65*Rates!E$8</f>
        <v>0</v>
      </c>
      <c r="AP65" s="174">
        <f>AN65+AO65</f>
        <v>0</v>
      </c>
      <c r="AQ65" s="170">
        <f>ROUND(AK65*AN65, 0)</f>
        <v>0</v>
      </c>
      <c r="AR65" s="169">
        <f>AK65*AO65</f>
        <v>0</v>
      </c>
      <c r="AS65" s="169">
        <f>AQ65+AR65</f>
        <v>0</v>
      </c>
      <c r="AT65" s="171"/>
      <c r="AU65" s="172">
        <f>'Monthly Budget'!AI65</f>
        <v>0</v>
      </c>
      <c r="AV65" s="172">
        <f>AU65/12*1950</f>
        <v>0</v>
      </c>
      <c r="AW65" s="168">
        <f>AL65*1.02</f>
        <v>0</v>
      </c>
      <c r="AX65" s="169">
        <f>AW65/12</f>
        <v>0</v>
      </c>
      <c r="AY65" s="174">
        <f>AW65/(1950)</f>
        <v>0</v>
      </c>
      <c r="AZ65" s="174">
        <f>AY65*Rates!F$8</f>
        <v>0</v>
      </c>
      <c r="BA65" s="174">
        <f>AY65+AZ65</f>
        <v>0</v>
      </c>
      <c r="BB65" s="170">
        <f>ROUND(AV65*AY65, 0)</f>
        <v>0</v>
      </c>
      <c r="BC65" s="169">
        <f>AV65*AZ65</f>
        <v>0</v>
      </c>
      <c r="BD65" s="169">
        <f>BB65+BC65</f>
        <v>0</v>
      </c>
      <c r="BE65" s="171"/>
      <c r="BF65" s="173">
        <f t="shared" si="68"/>
        <v>0</v>
      </c>
    </row>
    <row r="66" spans="1:58" ht="15" customHeight="1" thickTop="1" x14ac:dyDescent="0.6">
      <c r="A66" s="230" t="s">
        <v>0</v>
      </c>
      <c r="B66" s="231"/>
      <c r="C66" s="43"/>
      <c r="D66" s="43"/>
      <c r="E66" s="58"/>
      <c r="J66" s="136">
        <f>ROUND(SUM(J63:J65), 0)</f>
        <v>0</v>
      </c>
      <c r="M66" s="18"/>
      <c r="O66" s="43"/>
      <c r="U66" s="136">
        <f>ROUND(SUM(U63:U65), 0)</f>
        <v>0</v>
      </c>
      <c r="X66" s="18"/>
      <c r="Z66" s="43"/>
      <c r="AF66" s="136">
        <f>ROUND(SUM(AF63:AF65), 0)</f>
        <v>0</v>
      </c>
      <c r="AI66" s="18"/>
      <c r="AK66" s="43"/>
      <c r="AQ66" s="136">
        <f>ROUND(SUM(AQ63:AQ65), 0)</f>
        <v>0</v>
      </c>
      <c r="AT66" s="18"/>
      <c r="AV66" s="43"/>
      <c r="BB66" s="136">
        <f>ROUND(SUM(BB63:BB65), 0)</f>
        <v>0</v>
      </c>
      <c r="BE66" s="18"/>
      <c r="BF66" s="148">
        <f t="shared" si="68"/>
        <v>0</v>
      </c>
    </row>
    <row r="67" spans="1:58" ht="15" customHeight="1" x14ac:dyDescent="0.6">
      <c r="A67" s="216" t="s">
        <v>86</v>
      </c>
      <c r="B67" s="217"/>
      <c r="C67" s="43"/>
      <c r="D67" s="43"/>
      <c r="E67" s="58"/>
      <c r="J67" s="136">
        <f>ROUND(J66*Rates!B8, 0)</f>
        <v>0</v>
      </c>
      <c r="M67" s="18"/>
      <c r="O67" s="43"/>
      <c r="U67" s="136">
        <f>ROUND(U66*Rates!C8, 0)</f>
        <v>0</v>
      </c>
      <c r="X67" s="18"/>
      <c r="Z67" s="43"/>
      <c r="AF67" s="136">
        <f>ROUND(AF66*Rates!D8, 0)</f>
        <v>0</v>
      </c>
      <c r="AI67" s="18"/>
      <c r="AK67" s="43"/>
      <c r="AQ67" s="136">
        <f>ROUND(AQ66*Rates!E8, 0)</f>
        <v>0</v>
      </c>
      <c r="AT67" s="18"/>
      <c r="AV67" s="43"/>
      <c r="BB67" s="136">
        <f>ROUND(BB66*Rates!F8, 0)</f>
        <v>0</v>
      </c>
      <c r="BE67" s="18"/>
      <c r="BF67" s="148">
        <f t="shared" si="68"/>
        <v>0</v>
      </c>
    </row>
    <row r="68" spans="1:58" ht="15" customHeight="1" x14ac:dyDescent="0.6">
      <c r="A68" s="216" t="s">
        <v>2</v>
      </c>
      <c r="B68" s="217"/>
      <c r="C68" s="43"/>
      <c r="D68" s="43"/>
      <c r="E68" s="58"/>
      <c r="J68" s="136">
        <f>ROUND(SUM(J66:J67), 0)</f>
        <v>0</v>
      </c>
      <c r="M68" s="18"/>
      <c r="O68" s="43"/>
      <c r="U68" s="136">
        <f>ROUND(SUM(U66:U67), 0)</f>
        <v>0</v>
      </c>
      <c r="X68" s="18"/>
      <c r="Z68" s="43"/>
      <c r="AF68" s="136">
        <f>ROUND(SUM(AF66:AF67), 0)</f>
        <v>0</v>
      </c>
      <c r="AI68" s="18"/>
      <c r="AK68" s="43"/>
      <c r="AQ68" s="136">
        <f>ROUND(SUM(AQ66:AQ67), 0)</f>
        <v>0</v>
      </c>
      <c r="AT68" s="18"/>
      <c r="AV68" s="43"/>
      <c r="BB68" s="136">
        <f>ROUND(SUM(BB66:BB67), 0)</f>
        <v>0</v>
      </c>
      <c r="BE68" s="18"/>
      <c r="BF68" s="148">
        <f t="shared" si="68"/>
        <v>0</v>
      </c>
    </row>
    <row r="69" spans="1:58" ht="15" customHeight="1" x14ac:dyDescent="0.6">
      <c r="A69" s="164"/>
      <c r="B69" s="165"/>
      <c r="M69" s="18"/>
      <c r="X69" s="18"/>
      <c r="AI69" s="18"/>
      <c r="AT69" s="18"/>
      <c r="BE69" s="18"/>
      <c r="BF69" s="148"/>
    </row>
    <row r="70" spans="1:58" ht="15" customHeight="1" x14ac:dyDescent="0.6">
      <c r="A70" s="218" t="s">
        <v>4</v>
      </c>
      <c r="B70" s="219"/>
      <c r="J70" s="136">
        <f>ROUND(J18+J28+J36+J50+J58+J66, 0)</f>
        <v>33156</v>
      </c>
      <c r="M70" s="18"/>
      <c r="U70" s="136">
        <f>ROUND(U18+U28+U36+U50+U58+U66, 0)</f>
        <v>0</v>
      </c>
      <c r="X70" s="18"/>
      <c r="AF70" s="136">
        <f>ROUND(AF18+AF28+AF36+AF50+AF58+AF66, 0)</f>
        <v>0</v>
      </c>
      <c r="AI70" s="18"/>
      <c r="AQ70" s="136">
        <f>ROUND(AQ18+AQ28+AQ36+AQ50+AQ58+AQ66, 0)</f>
        <v>0</v>
      </c>
      <c r="AT70" s="18"/>
      <c r="BB70" s="136">
        <f>ROUND(BB18+BB28+BB36+BB50+BB58+BB66, 0)</f>
        <v>0</v>
      </c>
      <c r="BE70" s="18"/>
      <c r="BF70" s="148">
        <f>J70+U70+AF70+AQ70+BB70</f>
        <v>33156</v>
      </c>
    </row>
    <row r="71" spans="1:58" ht="15" customHeight="1" x14ac:dyDescent="0.6">
      <c r="A71" s="218" t="s">
        <v>5</v>
      </c>
      <c r="B71" s="219"/>
      <c r="J71" s="136">
        <f>ROUND(J19+J29+J37+J51+J59+J67, 0)</f>
        <v>4642</v>
      </c>
      <c r="M71" s="18"/>
      <c r="U71" s="136">
        <f>ROUND(U19+U29+U37+U51+U59+U67, 0)</f>
        <v>0</v>
      </c>
      <c r="X71" s="18"/>
      <c r="AF71" s="136">
        <f>ROUND(AF19+AF29+AF37+AF51+AF59+AF67, 0)</f>
        <v>0</v>
      </c>
      <c r="AI71" s="18"/>
      <c r="AQ71" s="136">
        <f>ROUND(AQ19+AQ29+AQ37+AQ51+AQ59+AQ67, 0)</f>
        <v>0</v>
      </c>
      <c r="AT71" s="18"/>
      <c r="BB71" s="136">
        <f>ROUND(BB19+BB29+BB37+BB51+BB59+BB67, 0)</f>
        <v>0</v>
      </c>
      <c r="BE71" s="18"/>
      <c r="BF71" s="148">
        <f>J71+U71+AF71+AQ71+BB71</f>
        <v>4642</v>
      </c>
    </row>
    <row r="72" spans="1:58" s="1" customFormat="1" ht="15" customHeight="1" thickBot="1" x14ac:dyDescent="0.75">
      <c r="A72" s="220" t="s">
        <v>6</v>
      </c>
      <c r="B72" s="221"/>
      <c r="C72" s="45"/>
      <c r="D72" s="45"/>
      <c r="E72" s="83"/>
      <c r="F72" s="46"/>
      <c r="G72" s="99"/>
      <c r="H72" s="99"/>
      <c r="I72" s="99"/>
      <c r="J72" s="139">
        <f>ROUND(SUM(J70:J71), 0)</f>
        <v>37798</v>
      </c>
      <c r="K72" s="46"/>
      <c r="L72" s="46"/>
      <c r="M72" s="47"/>
      <c r="N72" s="48"/>
      <c r="O72" s="45"/>
      <c r="P72" s="89"/>
      <c r="Q72" s="46"/>
      <c r="R72" s="99"/>
      <c r="S72" s="99"/>
      <c r="T72" s="99"/>
      <c r="U72" s="139">
        <f>ROUND(SUM(U70:U71), 0)</f>
        <v>0</v>
      </c>
      <c r="V72" s="46"/>
      <c r="W72" s="46"/>
      <c r="X72" s="47"/>
      <c r="Y72" s="48"/>
      <c r="Z72" s="45"/>
      <c r="AA72" s="89"/>
      <c r="AB72" s="46"/>
      <c r="AC72" s="99"/>
      <c r="AD72" s="99"/>
      <c r="AE72" s="99"/>
      <c r="AF72" s="139">
        <f>ROUND(SUM(AF70:AF71), 0)</f>
        <v>0</v>
      </c>
      <c r="AG72" s="46"/>
      <c r="AH72" s="46"/>
      <c r="AI72" s="47"/>
      <c r="AJ72" s="48"/>
      <c r="AK72" s="45"/>
      <c r="AL72" s="89"/>
      <c r="AM72" s="46"/>
      <c r="AN72" s="99"/>
      <c r="AO72" s="99"/>
      <c r="AP72" s="99"/>
      <c r="AQ72" s="139">
        <f>ROUND(SUM(AQ70:AQ71), 0)</f>
        <v>0</v>
      </c>
      <c r="AR72" s="46"/>
      <c r="AS72" s="46"/>
      <c r="AT72" s="47"/>
      <c r="AU72" s="48"/>
      <c r="AV72" s="45"/>
      <c r="AW72" s="89"/>
      <c r="AX72" s="46"/>
      <c r="AY72" s="99"/>
      <c r="AZ72" s="99"/>
      <c r="BA72" s="99"/>
      <c r="BB72" s="139">
        <f>ROUND(SUM(BB70:BB71), 0)</f>
        <v>0</v>
      </c>
      <c r="BC72" s="46"/>
      <c r="BD72" s="46"/>
      <c r="BE72" s="49"/>
      <c r="BF72" s="148">
        <f>J72+U72+AF72+AQ72+BB72</f>
        <v>37798</v>
      </c>
    </row>
    <row r="73" spans="1:58" ht="15" customHeight="1" x14ac:dyDescent="0.6">
      <c r="A73" s="22"/>
      <c r="B73" s="51"/>
      <c r="C73" s="52"/>
      <c r="D73" s="52"/>
      <c r="E73" s="84"/>
      <c r="F73" s="53"/>
      <c r="G73" s="94"/>
      <c r="H73" s="94"/>
      <c r="I73" s="94"/>
      <c r="J73" s="140"/>
      <c r="K73" s="53"/>
      <c r="L73" s="53"/>
      <c r="M73" s="34"/>
      <c r="N73" s="33"/>
      <c r="O73" s="52"/>
      <c r="P73" s="90"/>
      <c r="Q73" s="53"/>
      <c r="R73" s="94"/>
      <c r="S73" s="94"/>
      <c r="T73" s="94"/>
      <c r="U73" s="140"/>
      <c r="V73" s="53"/>
      <c r="W73" s="53"/>
      <c r="X73" s="34"/>
      <c r="Y73" s="33"/>
      <c r="Z73" s="52"/>
      <c r="AA73" s="90"/>
      <c r="AB73" s="53"/>
      <c r="AC73" s="94"/>
      <c r="AD73" s="94"/>
      <c r="AE73" s="94"/>
      <c r="AF73" s="140"/>
      <c r="AG73" s="53"/>
      <c r="AH73" s="53"/>
      <c r="AI73" s="34"/>
      <c r="AJ73" s="33"/>
      <c r="AK73" s="52"/>
      <c r="AL73" s="90"/>
      <c r="AM73" s="53"/>
      <c r="AN73" s="94"/>
      <c r="AO73" s="94"/>
      <c r="AP73" s="94"/>
      <c r="AQ73" s="140"/>
      <c r="AR73" s="53"/>
      <c r="AS73" s="53"/>
      <c r="AT73" s="34"/>
      <c r="AU73" s="33"/>
      <c r="AV73" s="52"/>
      <c r="AW73" s="90"/>
      <c r="AX73" s="53"/>
      <c r="AY73" s="94"/>
      <c r="AZ73" s="94"/>
      <c r="BA73" s="94"/>
      <c r="BB73" s="140"/>
      <c r="BC73" s="53"/>
      <c r="BD73" s="53"/>
      <c r="BE73" s="54"/>
      <c r="BF73" s="146"/>
    </row>
    <row r="74" spans="1:58" s="1" customFormat="1" ht="15" customHeight="1" x14ac:dyDescent="0.7">
      <c r="A74" s="222" t="s">
        <v>33</v>
      </c>
      <c r="B74" s="223"/>
      <c r="C74" s="55"/>
      <c r="D74" s="55"/>
      <c r="E74" s="85"/>
      <c r="F74" s="5"/>
      <c r="G74" s="100"/>
      <c r="H74" s="100"/>
      <c r="I74" s="100"/>
      <c r="J74" s="141"/>
      <c r="K74" s="5"/>
      <c r="L74" s="5"/>
      <c r="M74" s="56"/>
      <c r="N74" s="57"/>
      <c r="O74" s="55"/>
      <c r="P74" s="91"/>
      <c r="Q74" s="5"/>
      <c r="R74" s="100"/>
      <c r="S74" s="100"/>
      <c r="T74" s="100"/>
      <c r="U74" s="141"/>
      <c r="V74" s="5"/>
      <c r="W74" s="5"/>
      <c r="X74" s="56"/>
      <c r="Y74" s="57"/>
      <c r="Z74" s="55"/>
      <c r="AA74" s="91"/>
      <c r="AB74" s="5"/>
      <c r="AC74" s="100"/>
      <c r="AD74" s="100"/>
      <c r="AE74" s="100"/>
      <c r="AF74" s="141"/>
      <c r="AG74" s="5"/>
      <c r="AH74" s="5"/>
      <c r="AI74" s="56"/>
      <c r="AJ74" s="57"/>
      <c r="AK74" s="55"/>
      <c r="AL74" s="91"/>
      <c r="AM74" s="5"/>
      <c r="AN74" s="100"/>
      <c r="AO74" s="100"/>
      <c r="AP74" s="100"/>
      <c r="AQ74" s="141"/>
      <c r="AR74" s="5"/>
      <c r="AS74" s="5"/>
      <c r="AT74" s="56"/>
      <c r="AU74" s="57"/>
      <c r="AV74" s="55"/>
      <c r="AW74" s="91"/>
      <c r="AX74" s="5"/>
      <c r="AY74" s="100"/>
      <c r="AZ74" s="100"/>
      <c r="BA74" s="100"/>
      <c r="BB74" s="141"/>
      <c r="BC74" s="5"/>
      <c r="BD74" s="5"/>
      <c r="BE74" s="18"/>
      <c r="BF74" s="148"/>
    </row>
    <row r="75" spans="1:58" ht="15" customHeight="1" x14ac:dyDescent="0.6">
      <c r="A75" s="228" t="str">
        <f>'Monthly Budget'!A75:B75</f>
        <v>Travel</v>
      </c>
      <c r="B75" s="229"/>
      <c r="J75" s="136">
        <f>'Monthly Budget'!G75</f>
        <v>10680</v>
      </c>
      <c r="M75" s="18"/>
      <c r="U75" s="136">
        <f>'Monthly Budget'!O75</f>
        <v>0</v>
      </c>
      <c r="X75" s="18"/>
      <c r="AF75" s="136">
        <f>'Monthly Budget'!W75</f>
        <v>0</v>
      </c>
      <c r="AI75" s="18"/>
      <c r="AQ75" s="136">
        <f>'Monthly Budget'!AE75</f>
        <v>0</v>
      </c>
      <c r="AT75" s="18"/>
      <c r="BB75" s="136">
        <f>'Monthly Budget'!AM75</f>
        <v>0</v>
      </c>
      <c r="BE75" s="56"/>
      <c r="BF75" s="148">
        <f>ROUND(J75+U75+AF75+AQ75+BB75, 0)</f>
        <v>10680</v>
      </c>
    </row>
    <row r="76" spans="1:58" ht="15" customHeight="1" x14ac:dyDescent="0.6">
      <c r="A76" s="228" t="str">
        <f>'Monthly Budget'!A76:B76</f>
        <v>Supplies</v>
      </c>
      <c r="B76" s="229"/>
      <c r="J76" s="136">
        <f>'Monthly Budget'!G76</f>
        <v>0</v>
      </c>
      <c r="M76" s="18"/>
      <c r="U76" s="136">
        <f>'Monthly Budget'!O76</f>
        <v>0</v>
      </c>
      <c r="X76" s="18"/>
      <c r="AF76" s="136">
        <f>'Monthly Budget'!W76</f>
        <v>0</v>
      </c>
      <c r="AI76" s="18"/>
      <c r="AQ76" s="136">
        <f>'Monthly Budget'!AE76</f>
        <v>0</v>
      </c>
      <c r="AT76" s="18"/>
      <c r="BB76" s="136">
        <f>'Monthly Budget'!AM76</f>
        <v>0</v>
      </c>
      <c r="BE76" s="18"/>
      <c r="BF76" s="148">
        <f>ROUND(J76+U76+AF76+AQ76+BB76, 0)</f>
        <v>0</v>
      </c>
    </row>
    <row r="77" spans="1:58" ht="15" customHeight="1" x14ac:dyDescent="0.6">
      <c r="A77" s="228" t="str">
        <f>'Monthly Budget'!A77:B77</f>
        <v>Publications</v>
      </c>
      <c r="B77" s="229"/>
      <c r="J77" s="136">
        <f>'Monthly Budget'!G77</f>
        <v>0</v>
      </c>
      <c r="M77" s="18"/>
      <c r="U77" s="136">
        <f>'Monthly Budget'!O77</f>
        <v>0</v>
      </c>
      <c r="X77" s="18"/>
      <c r="AF77" s="136">
        <f>'Monthly Budget'!W77</f>
        <v>0</v>
      </c>
      <c r="AI77" s="18"/>
      <c r="AQ77" s="136">
        <f>'Monthly Budget'!AE77</f>
        <v>0</v>
      </c>
      <c r="AT77" s="18"/>
      <c r="BB77" s="136">
        <f>'Monthly Budget'!AM77</f>
        <v>0</v>
      </c>
      <c r="BE77" s="18"/>
      <c r="BF77" s="148">
        <f>ROUND(J77+U77+AF77+AQ77+BB77, 0)</f>
        <v>0</v>
      </c>
    </row>
    <row r="78" spans="1:58" ht="15" customHeight="1" x14ac:dyDescent="0.6">
      <c r="A78" s="228" t="str">
        <f>'Monthly Budget'!A78:B78</f>
        <v>Consultants</v>
      </c>
      <c r="B78" s="229"/>
      <c r="J78" s="136">
        <f>'Monthly Budget'!G78</f>
        <v>0</v>
      </c>
      <c r="M78" s="18"/>
      <c r="Q78" s="58"/>
      <c r="U78" s="136">
        <f>'Monthly Budget'!O78</f>
        <v>0</v>
      </c>
      <c r="X78" s="59"/>
      <c r="AB78" s="58"/>
      <c r="AF78" s="136">
        <f>'Monthly Budget'!W78</f>
        <v>0</v>
      </c>
      <c r="AI78" s="59"/>
      <c r="AM78" s="58"/>
      <c r="AQ78" s="136">
        <f>'Monthly Budget'!AE78</f>
        <v>0</v>
      </c>
      <c r="AT78" s="59"/>
      <c r="AX78" s="58"/>
      <c r="BB78" s="136">
        <f>'Monthly Budget'!AM78</f>
        <v>0</v>
      </c>
      <c r="BE78" s="18"/>
      <c r="BF78" s="148">
        <f>ROUND(J78+U78+AF78+AQ78+BB78, 0)</f>
        <v>0</v>
      </c>
    </row>
    <row r="79" spans="1:58" ht="15" customHeight="1" x14ac:dyDescent="0.6">
      <c r="A79" s="228" t="str">
        <f>'Monthly Budget'!A79:B79</f>
        <v>Other</v>
      </c>
      <c r="B79" s="229"/>
      <c r="J79" s="136">
        <f>'Monthly Budget'!G79</f>
        <v>0</v>
      </c>
      <c r="M79" s="18"/>
      <c r="Q79" s="58"/>
      <c r="U79" s="136">
        <f>'Monthly Budget'!O79</f>
        <v>0</v>
      </c>
      <c r="X79" s="59"/>
      <c r="AB79" s="58"/>
      <c r="AF79" s="136">
        <f>'Monthly Budget'!W79</f>
        <v>0</v>
      </c>
      <c r="AI79" s="59"/>
      <c r="AM79" s="58"/>
      <c r="AQ79" s="136">
        <f>'Monthly Budget'!AE79</f>
        <v>0</v>
      </c>
      <c r="AT79" s="59"/>
      <c r="AX79" s="58"/>
      <c r="BB79" s="136">
        <f>'Monthly Budget'!AM79</f>
        <v>0</v>
      </c>
      <c r="BE79" s="18"/>
      <c r="BF79" s="148">
        <f>ROUND(J79+U79+AF79+AQ79+BB79, 0)</f>
        <v>0</v>
      </c>
    </row>
    <row r="80" spans="1:58" ht="10.15" customHeight="1" x14ac:dyDescent="0.6">
      <c r="A80" s="68"/>
      <c r="B80" s="69"/>
      <c r="C80" s="70"/>
      <c r="D80" s="70"/>
      <c r="E80" s="86"/>
      <c r="F80" s="18"/>
      <c r="G80" s="101"/>
      <c r="H80" s="101"/>
      <c r="I80" s="101"/>
      <c r="J80" s="142"/>
      <c r="K80" s="18"/>
      <c r="L80" s="18"/>
      <c r="M80" s="18"/>
      <c r="N80" s="71"/>
      <c r="O80" s="70"/>
      <c r="P80" s="59"/>
      <c r="Q80" s="59"/>
      <c r="R80" s="101"/>
      <c r="S80" s="101"/>
      <c r="T80" s="101"/>
      <c r="U80" s="142"/>
      <c r="V80" s="18"/>
      <c r="W80" s="18"/>
      <c r="X80" s="59"/>
      <c r="Y80" s="71"/>
      <c r="Z80" s="70"/>
      <c r="AA80" s="59"/>
      <c r="AB80" s="59"/>
      <c r="AC80" s="101"/>
      <c r="AD80" s="101"/>
      <c r="AE80" s="101"/>
      <c r="AF80" s="142"/>
      <c r="AG80" s="18"/>
      <c r="AH80" s="18"/>
      <c r="AI80" s="59"/>
      <c r="AJ80" s="71"/>
      <c r="AK80" s="70"/>
      <c r="AL80" s="59"/>
      <c r="AM80" s="59"/>
      <c r="AN80" s="101"/>
      <c r="AO80" s="101"/>
      <c r="AP80" s="101"/>
      <c r="AQ80" s="142"/>
      <c r="AR80" s="18"/>
      <c r="AS80" s="18"/>
      <c r="AT80" s="59"/>
      <c r="AU80" s="71"/>
      <c r="AV80" s="70"/>
      <c r="AW80" s="59"/>
      <c r="AX80" s="59"/>
      <c r="AY80" s="101"/>
      <c r="AZ80" s="101"/>
      <c r="BA80" s="101"/>
      <c r="BB80" s="142"/>
      <c r="BC80" s="18"/>
      <c r="BD80" s="18"/>
      <c r="BE80" s="59"/>
      <c r="BF80" s="151"/>
    </row>
    <row r="81" spans="1:58" ht="15" customHeight="1" x14ac:dyDescent="0.6">
      <c r="A81" s="247" t="str">
        <f>'Monthly Budget'!A81:B81</f>
        <v>Subawards - adjust IDC base</v>
      </c>
      <c r="B81" s="248"/>
      <c r="J81" s="136">
        <f>'Monthly Budget'!G81</f>
        <v>0</v>
      </c>
      <c r="M81" s="18"/>
      <c r="U81" s="136">
        <f>'Monthly Budget'!O81</f>
        <v>0</v>
      </c>
      <c r="X81" s="18"/>
      <c r="AF81" s="136">
        <f>'Monthly Budget'!W81</f>
        <v>0</v>
      </c>
      <c r="AI81" s="18"/>
      <c r="AQ81" s="136">
        <f>'Monthly Budget'!AE81</f>
        <v>0</v>
      </c>
      <c r="AT81" s="18"/>
      <c r="BB81" s="136">
        <f>'Monthly Budget'!AM81</f>
        <v>0</v>
      </c>
      <c r="BE81" s="59"/>
      <c r="BF81" s="148">
        <f>ROUND(J81+U81+AF81+AQ81+BB81, 0)</f>
        <v>0</v>
      </c>
    </row>
    <row r="82" spans="1:58" ht="15" customHeight="1" x14ac:dyDescent="0.6">
      <c r="A82" s="228" t="str">
        <f>'Monthly Budget'!A82:B82</f>
        <v>Equipment</v>
      </c>
      <c r="B82" s="229"/>
      <c r="J82" s="136">
        <f>'Monthly Budget'!G82</f>
        <v>0</v>
      </c>
      <c r="M82" s="18"/>
      <c r="U82" s="136">
        <f>'Monthly Budget'!O82</f>
        <v>0</v>
      </c>
      <c r="X82" s="18"/>
      <c r="AF82" s="136">
        <f>'Monthly Budget'!W82</f>
        <v>0</v>
      </c>
      <c r="AI82" s="18"/>
      <c r="AQ82" s="136">
        <f>'Monthly Budget'!AE82</f>
        <v>0</v>
      </c>
      <c r="AT82" s="18"/>
      <c r="BB82" s="136">
        <f>'Monthly Budget'!AM82</f>
        <v>0</v>
      </c>
      <c r="BE82" s="59"/>
      <c r="BF82" s="148">
        <f>ROUND(J82+U82+AF82+AQ82+BB82, 0)</f>
        <v>0</v>
      </c>
    </row>
    <row r="83" spans="1:58" ht="15" customHeight="1" x14ac:dyDescent="0.6">
      <c r="A83" s="228" t="str">
        <f>'Monthly Budget'!A83:F83</f>
        <v>Tuition -/ch, ch/sem</v>
      </c>
      <c r="B83" s="229"/>
      <c r="C83" s="229"/>
      <c r="D83" s="229"/>
      <c r="E83" s="229"/>
      <c r="F83" s="229"/>
      <c r="G83" s="102"/>
      <c r="H83" s="102"/>
      <c r="I83" s="102"/>
      <c r="J83" s="136">
        <f>'Monthly Budget'!G83</f>
        <v>0</v>
      </c>
      <c r="M83" s="18"/>
      <c r="O83" s="12"/>
      <c r="Q83" s="58"/>
      <c r="R83" s="102"/>
      <c r="S83" s="102"/>
      <c r="T83" s="102"/>
      <c r="U83" s="136">
        <f>'Monthly Budget'!O83</f>
        <v>0</v>
      </c>
      <c r="X83" s="59"/>
      <c r="Z83" s="12"/>
      <c r="AB83" s="58"/>
      <c r="AC83" s="102"/>
      <c r="AD83" s="102"/>
      <c r="AE83" s="102"/>
      <c r="AF83" s="136">
        <f>'Monthly Budget'!W83</f>
        <v>0</v>
      </c>
      <c r="AI83" s="59"/>
      <c r="AK83" s="12"/>
      <c r="AM83" s="58"/>
      <c r="AN83" s="102"/>
      <c r="AO83" s="102"/>
      <c r="AP83" s="102"/>
      <c r="AQ83" s="136">
        <f>'Monthly Budget'!AE83</f>
        <v>0</v>
      </c>
      <c r="AT83" s="59"/>
      <c r="AV83" s="12"/>
      <c r="AX83" s="58"/>
      <c r="AY83" s="102"/>
      <c r="AZ83" s="102"/>
      <c r="BA83" s="102"/>
      <c r="BB83" s="136">
        <f>'Monthly Budget'!AM83</f>
        <v>0</v>
      </c>
      <c r="BE83" s="18"/>
      <c r="BF83" s="148">
        <f>ROUND(J83+U83+AF83+AQ83+BB83, 0)</f>
        <v>0</v>
      </c>
    </row>
    <row r="84" spans="1:58" ht="10.15" customHeight="1" x14ac:dyDescent="0.6">
      <c r="A84" s="68"/>
      <c r="B84" s="69"/>
      <c r="C84" s="70"/>
      <c r="D84" s="70"/>
      <c r="E84" s="86"/>
      <c r="F84" s="18"/>
      <c r="G84" s="101"/>
      <c r="H84" s="101"/>
      <c r="I84" s="101"/>
      <c r="J84" s="142"/>
      <c r="K84" s="18"/>
      <c r="L84" s="18"/>
      <c r="M84" s="18"/>
      <c r="N84" s="71"/>
      <c r="O84" s="70"/>
      <c r="P84" s="59"/>
      <c r="Q84" s="18"/>
      <c r="R84" s="101"/>
      <c r="S84" s="101"/>
      <c r="T84" s="101"/>
      <c r="U84" s="142"/>
      <c r="V84" s="18"/>
      <c r="W84" s="18"/>
      <c r="X84" s="18"/>
      <c r="Y84" s="71"/>
      <c r="Z84" s="70"/>
      <c r="AA84" s="59"/>
      <c r="AB84" s="18"/>
      <c r="AC84" s="101"/>
      <c r="AD84" s="101"/>
      <c r="AE84" s="101"/>
      <c r="AF84" s="142"/>
      <c r="AG84" s="18"/>
      <c r="AH84" s="18"/>
      <c r="AI84" s="18"/>
      <c r="AJ84" s="71"/>
      <c r="AK84" s="70"/>
      <c r="AL84" s="59"/>
      <c r="AM84" s="18"/>
      <c r="AN84" s="101"/>
      <c r="AO84" s="101"/>
      <c r="AP84" s="101"/>
      <c r="AQ84" s="142"/>
      <c r="AR84" s="18"/>
      <c r="AS84" s="18"/>
      <c r="AT84" s="18"/>
      <c r="AU84" s="71"/>
      <c r="AV84" s="70"/>
      <c r="AW84" s="59"/>
      <c r="AX84" s="18"/>
      <c r="AY84" s="101"/>
      <c r="AZ84" s="101"/>
      <c r="BA84" s="101"/>
      <c r="BB84" s="142"/>
      <c r="BC84" s="18"/>
      <c r="BD84" s="18"/>
      <c r="BE84" s="59"/>
      <c r="BF84" s="151"/>
    </row>
    <row r="85" spans="1:58" s="1" customFormat="1" ht="15" customHeight="1" x14ac:dyDescent="0.6">
      <c r="A85" s="228" t="s">
        <v>9</v>
      </c>
      <c r="B85" s="229"/>
      <c r="C85" s="55"/>
      <c r="D85" s="55"/>
      <c r="E85" s="85"/>
      <c r="F85" s="5"/>
      <c r="G85" s="100"/>
      <c r="H85" s="100"/>
      <c r="I85" s="100"/>
      <c r="J85" s="141">
        <f>ROUND(SUM(J75:J84), 0)</f>
        <v>10680</v>
      </c>
      <c r="K85" s="5"/>
      <c r="L85" s="5"/>
      <c r="M85" s="56"/>
      <c r="N85" s="57"/>
      <c r="O85" s="55"/>
      <c r="P85" s="91"/>
      <c r="Q85" s="5"/>
      <c r="R85" s="100"/>
      <c r="S85" s="100"/>
      <c r="T85" s="100"/>
      <c r="U85" s="141">
        <f>ROUND(SUM(U75:U84), 0)</f>
        <v>0</v>
      </c>
      <c r="V85" s="5"/>
      <c r="W85" s="5"/>
      <c r="X85" s="56"/>
      <c r="Y85" s="57"/>
      <c r="Z85" s="55"/>
      <c r="AA85" s="91"/>
      <c r="AB85" s="5"/>
      <c r="AC85" s="100"/>
      <c r="AD85" s="100"/>
      <c r="AE85" s="100"/>
      <c r="AF85" s="141">
        <f>ROUND(SUM(AF75:AF84), 0)</f>
        <v>0</v>
      </c>
      <c r="AG85" s="5"/>
      <c r="AH85" s="5"/>
      <c r="AI85" s="56"/>
      <c r="AJ85" s="57"/>
      <c r="AK85" s="55"/>
      <c r="AL85" s="91"/>
      <c r="AM85" s="5"/>
      <c r="AN85" s="100"/>
      <c r="AO85" s="100"/>
      <c r="AP85" s="100"/>
      <c r="AQ85" s="141">
        <f>ROUND(SUM(AQ75:AQ84), 0)</f>
        <v>0</v>
      </c>
      <c r="AR85" s="5"/>
      <c r="AS85" s="5"/>
      <c r="AT85" s="56"/>
      <c r="AU85" s="57"/>
      <c r="AV85" s="55"/>
      <c r="AW85" s="91"/>
      <c r="AX85" s="5"/>
      <c r="AY85" s="100"/>
      <c r="AZ85" s="100"/>
      <c r="BA85" s="100"/>
      <c r="BB85" s="141">
        <f>ROUND(SUM(BB75:BB84), 0)</f>
        <v>0</v>
      </c>
      <c r="BC85" s="5"/>
      <c r="BD85" s="5"/>
      <c r="BE85" s="18"/>
      <c r="BF85" s="148">
        <f>J85+U85+AF85+AQ85+BB85</f>
        <v>10680</v>
      </c>
    </row>
    <row r="86" spans="1:58" ht="15" customHeight="1" x14ac:dyDescent="0.6">
      <c r="A86" s="36"/>
      <c r="M86" s="18"/>
      <c r="X86" s="18"/>
      <c r="AI86" s="18"/>
      <c r="AT86" s="18"/>
      <c r="BE86" s="56"/>
      <c r="BF86" s="148"/>
    </row>
    <row r="87" spans="1:58" ht="15" customHeight="1" x14ac:dyDescent="0.6">
      <c r="A87" s="228" t="s">
        <v>7</v>
      </c>
      <c r="B87" s="229"/>
      <c r="J87" s="136">
        <f>ROUND(SUM(J72+J85), 0)</f>
        <v>48478</v>
      </c>
      <c r="M87" s="18"/>
      <c r="U87" s="136">
        <f>ROUND(SUM(U72+U85), 0)</f>
        <v>0</v>
      </c>
      <c r="X87" s="18"/>
      <c r="AF87" s="136">
        <f>ROUND(SUM(AF72+AF85), 0)</f>
        <v>0</v>
      </c>
      <c r="AI87" s="18"/>
      <c r="AQ87" s="136">
        <f>ROUND(SUM(AQ72+AQ85), 0)</f>
        <v>0</v>
      </c>
      <c r="AT87" s="18"/>
      <c r="BB87" s="136">
        <f>ROUND(SUM(BB72+BB85), 0)</f>
        <v>0</v>
      </c>
      <c r="BE87" s="18"/>
      <c r="BF87" s="148">
        <f>J87+U87+AF87+AQ87+BB87</f>
        <v>48478</v>
      </c>
    </row>
    <row r="88" spans="1:58" ht="15" customHeight="1" x14ac:dyDescent="0.6">
      <c r="A88" s="226" t="s">
        <v>24</v>
      </c>
      <c r="B88" s="227"/>
      <c r="C88" s="180"/>
      <c r="J88" s="136">
        <f>ROUND(J87-J82-J83, 0)</f>
        <v>48478</v>
      </c>
      <c r="M88" s="18"/>
      <c r="U88" s="136">
        <f>ROUND(U87-U82-U83, 0)</f>
        <v>0</v>
      </c>
      <c r="X88" s="18"/>
      <c r="AF88" s="136">
        <f>ROUND(AF87-AF82-AF83, 0)</f>
        <v>0</v>
      </c>
      <c r="AI88" s="18"/>
      <c r="AQ88" s="136">
        <f>ROUND(AQ87-AQ82-AQ83, 0)</f>
        <v>0</v>
      </c>
      <c r="AT88" s="18"/>
      <c r="BB88" s="136">
        <f>ROUND(BB87-BB82-BB83, 0)</f>
        <v>0</v>
      </c>
      <c r="BE88" s="18"/>
      <c r="BF88" s="148">
        <f>J88+U88+AF88+AQ88+BB88</f>
        <v>48478</v>
      </c>
    </row>
    <row r="89" spans="1:58" ht="15" customHeight="1" x14ac:dyDescent="0.6">
      <c r="A89" s="226" t="s">
        <v>78</v>
      </c>
      <c r="B89" s="227"/>
      <c r="C89" s="227"/>
      <c r="D89" s="44"/>
      <c r="J89" s="136">
        <f>ROUND(J88*Rates!B13, 0)</f>
        <v>29329</v>
      </c>
      <c r="M89" s="18"/>
      <c r="O89" s="44"/>
      <c r="U89" s="136">
        <f>ROUND(U88*Rates!C13, 0)</f>
        <v>0</v>
      </c>
      <c r="X89" s="18"/>
      <c r="Z89" s="44"/>
      <c r="AF89" s="136">
        <f>ROUND(AF88*Rates!D13, 0)</f>
        <v>0</v>
      </c>
      <c r="AI89" s="18"/>
      <c r="AK89" s="44"/>
      <c r="AQ89" s="136">
        <f>ROUND(AQ88*Rates!E13, 0)</f>
        <v>0</v>
      </c>
      <c r="AT89" s="18"/>
      <c r="AV89" s="44"/>
      <c r="BB89" s="136">
        <f>ROUND(BB88*Rates!F13, 0)</f>
        <v>0</v>
      </c>
      <c r="BE89" s="18"/>
      <c r="BF89" s="148">
        <f>J89+U89+AF89+AQ89+BB89</f>
        <v>29329</v>
      </c>
    </row>
    <row r="90" spans="1:58" s="1" customFormat="1" ht="15" customHeight="1" thickBot="1" x14ac:dyDescent="0.75">
      <c r="A90" s="224" t="s">
        <v>1</v>
      </c>
      <c r="B90" s="225"/>
      <c r="C90" s="45"/>
      <c r="D90" s="45"/>
      <c r="E90" s="83"/>
      <c r="F90" s="46"/>
      <c r="G90" s="99"/>
      <c r="H90" s="99"/>
      <c r="I90" s="99"/>
      <c r="J90" s="139">
        <f>ROUND(J87+J89, 0)</f>
        <v>77807</v>
      </c>
      <c r="K90" s="46"/>
      <c r="L90" s="46"/>
      <c r="M90" s="47"/>
      <c r="N90" s="48"/>
      <c r="O90" s="45"/>
      <c r="P90" s="89"/>
      <c r="Q90" s="46"/>
      <c r="R90" s="99"/>
      <c r="S90" s="99"/>
      <c r="T90" s="99"/>
      <c r="U90" s="139">
        <f>ROUND(U87+U89, 0)</f>
        <v>0</v>
      </c>
      <c r="V90" s="46"/>
      <c r="W90" s="46"/>
      <c r="X90" s="47"/>
      <c r="Y90" s="48"/>
      <c r="Z90" s="45"/>
      <c r="AA90" s="89"/>
      <c r="AB90" s="46"/>
      <c r="AC90" s="99"/>
      <c r="AD90" s="99"/>
      <c r="AE90" s="99"/>
      <c r="AF90" s="139">
        <f>ROUND(AF87+AF89, 0)</f>
        <v>0</v>
      </c>
      <c r="AG90" s="46"/>
      <c r="AH90" s="46"/>
      <c r="AI90" s="47"/>
      <c r="AJ90" s="48"/>
      <c r="AK90" s="45"/>
      <c r="AL90" s="89"/>
      <c r="AM90" s="46"/>
      <c r="AN90" s="99"/>
      <c r="AO90" s="99"/>
      <c r="AP90" s="99"/>
      <c r="AQ90" s="139">
        <f>ROUND(AQ87+AQ89, 0)</f>
        <v>0</v>
      </c>
      <c r="AR90" s="46"/>
      <c r="AS90" s="46"/>
      <c r="AT90" s="47"/>
      <c r="AU90" s="48"/>
      <c r="AV90" s="45"/>
      <c r="AW90" s="89"/>
      <c r="AX90" s="46"/>
      <c r="AY90" s="99"/>
      <c r="AZ90" s="99"/>
      <c r="BA90" s="99"/>
      <c r="BB90" s="139">
        <f>ROUND(BB87+BB89, 0)</f>
        <v>0</v>
      </c>
      <c r="BC90" s="46"/>
      <c r="BD90" s="46"/>
      <c r="BE90" s="49"/>
      <c r="BF90" s="150">
        <f>J90+U90+AF90+AQ90+BB90</f>
        <v>77807</v>
      </c>
    </row>
    <row r="91" spans="1:58" x14ac:dyDescent="0.6">
      <c r="BE91" s="5"/>
    </row>
    <row r="92" spans="1:58" x14ac:dyDescent="0.6">
      <c r="A92" s="181" t="s">
        <v>59</v>
      </c>
      <c r="B92" s="182"/>
      <c r="C92" s="180"/>
      <c r="D92" s="180"/>
      <c r="E92" s="183"/>
      <c r="F92" s="184"/>
      <c r="G92" s="186"/>
      <c r="H92" s="186"/>
    </row>
    <row r="93" spans="1:58" ht="13.75" thickBot="1" x14ac:dyDescent="0.75">
      <c r="A93" s="1"/>
    </row>
    <row r="94" spans="1:58" ht="136.5" customHeight="1" thickTop="1" thickBot="1" x14ac:dyDescent="0.75">
      <c r="A94" s="249" t="s">
        <v>43</v>
      </c>
      <c r="B94" s="250"/>
      <c r="C94" s="250"/>
      <c r="D94" s="250"/>
      <c r="E94" s="251"/>
      <c r="F94" s="103"/>
      <c r="G94" s="103"/>
      <c r="H94" s="104"/>
    </row>
  </sheetData>
  <mergeCells count="84">
    <mergeCell ref="A25:B25"/>
    <mergeCell ref="A47:B47"/>
    <mergeCell ref="A30:B30"/>
    <mergeCell ref="A16:B16"/>
    <mergeCell ref="A17:B17"/>
    <mergeCell ref="A18:B18"/>
    <mergeCell ref="A19:B19"/>
    <mergeCell ref="A20:B20"/>
    <mergeCell ref="A22:B22"/>
    <mergeCell ref="A23:B23"/>
    <mergeCell ref="A94:E94"/>
    <mergeCell ref="A59:B59"/>
    <mergeCell ref="A60:B60"/>
    <mergeCell ref="A70:B70"/>
    <mergeCell ref="A71:B71"/>
    <mergeCell ref="A72:B72"/>
    <mergeCell ref="A68:B68"/>
    <mergeCell ref="A67:B67"/>
    <mergeCell ref="A66:B66"/>
    <mergeCell ref="A65:B65"/>
    <mergeCell ref="A64:B64"/>
    <mergeCell ref="A63:B63"/>
    <mergeCell ref="A62:B62"/>
    <mergeCell ref="A90:B90"/>
    <mergeCell ref="A82:B82"/>
    <mergeCell ref="A83:F83"/>
    <mergeCell ref="A56:B56"/>
    <mergeCell ref="A57:B57"/>
    <mergeCell ref="A13:B13"/>
    <mergeCell ref="A45:B45"/>
    <mergeCell ref="A46:B46"/>
    <mergeCell ref="A28:B28"/>
    <mergeCell ref="A29:B29"/>
    <mergeCell ref="A27:B27"/>
    <mergeCell ref="A26:B26"/>
    <mergeCell ref="A51:B51"/>
    <mergeCell ref="A52:B52"/>
    <mergeCell ref="A48:B48"/>
    <mergeCell ref="A49:B49"/>
    <mergeCell ref="A14:B14"/>
    <mergeCell ref="A15:B15"/>
    <mergeCell ref="A24:B24"/>
    <mergeCell ref="A85:B85"/>
    <mergeCell ref="A87:B87"/>
    <mergeCell ref="A88:B88"/>
    <mergeCell ref="A89:C89"/>
    <mergeCell ref="A74:B74"/>
    <mergeCell ref="A75:B75"/>
    <mergeCell ref="A76:B76"/>
    <mergeCell ref="A77:B77"/>
    <mergeCell ref="A79:B79"/>
    <mergeCell ref="A81:B81"/>
    <mergeCell ref="A78:B78"/>
    <mergeCell ref="A58:B58"/>
    <mergeCell ref="A50:B50"/>
    <mergeCell ref="A32:B32"/>
    <mergeCell ref="A33:B33"/>
    <mergeCell ref="A34:B34"/>
    <mergeCell ref="A35:B35"/>
    <mergeCell ref="A36:B36"/>
    <mergeCell ref="A37:B37"/>
    <mergeCell ref="A38:B38"/>
    <mergeCell ref="A40:B40"/>
    <mergeCell ref="A41:B41"/>
    <mergeCell ref="A42:B42"/>
    <mergeCell ref="A43:B43"/>
    <mergeCell ref="A44:B44"/>
    <mergeCell ref="A54:B54"/>
    <mergeCell ref="A55:B55"/>
    <mergeCell ref="A6:B6"/>
    <mergeCell ref="A7:B7"/>
    <mergeCell ref="A8:B8"/>
    <mergeCell ref="A12:B12"/>
    <mergeCell ref="A11:B11"/>
    <mergeCell ref="A9:B9"/>
    <mergeCell ref="A10:B10"/>
    <mergeCell ref="AU5:BB5"/>
    <mergeCell ref="AJ5:AQ5"/>
    <mergeCell ref="Y5:AF5"/>
    <mergeCell ref="B1:F1"/>
    <mergeCell ref="B2:F2"/>
    <mergeCell ref="B3:F3"/>
    <mergeCell ref="C5:J5"/>
    <mergeCell ref="N5:U5"/>
  </mergeCells>
  <printOptions horizontalCentered="1"/>
  <pageMargins left="0" right="0" top="1" bottom="1" header="0.5" footer="0.5"/>
  <pageSetup scale="38" orientation="portrait" r:id="rId1"/>
  <headerFooter alignWithMargins="0">
    <oddHeader>&amp;L&amp;F&amp;C&amp;A</oddHead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BF183"/>
  <sheetViews>
    <sheetView zoomScale="115" zoomScaleNormal="115" workbookViewId="0">
      <selection activeCell="A52" sqref="A52:B52"/>
    </sheetView>
  </sheetViews>
  <sheetFormatPr defaultRowHeight="13" x14ac:dyDescent="0.6"/>
  <cols>
    <col min="1" max="1" width="27.7265625" customWidth="1"/>
    <col min="2" max="6" width="12.7265625" style="10" customWidth="1"/>
    <col min="7" max="7" width="14.40625" style="155" customWidth="1"/>
    <col min="8" max="8" width="14.7265625" style="155" customWidth="1"/>
  </cols>
  <sheetData>
    <row r="1" spans="1:8" s="105" customFormat="1" ht="52.5" customHeight="1" thickBot="1" x14ac:dyDescent="0.75">
      <c r="A1" s="119" t="s">
        <v>45</v>
      </c>
      <c r="B1" s="120" t="s">
        <v>51</v>
      </c>
      <c r="C1" s="120" t="s">
        <v>48</v>
      </c>
      <c r="D1" s="120" t="s">
        <v>49</v>
      </c>
      <c r="E1" s="120" t="s">
        <v>50</v>
      </c>
      <c r="F1" s="120" t="s">
        <v>52</v>
      </c>
      <c r="G1" s="156" t="s">
        <v>55</v>
      </c>
      <c r="H1" s="156" t="s">
        <v>56</v>
      </c>
    </row>
    <row r="2" spans="1:8" ht="15.5" x14ac:dyDescent="0.7">
      <c r="A2" s="2" t="s">
        <v>10</v>
      </c>
    </row>
    <row r="3" spans="1:8" x14ac:dyDescent="0.6">
      <c r="A3" s="115" t="str">
        <f>'Hourly Budget'!A8</f>
        <v>Martinez Machain, Carla (AY)</v>
      </c>
      <c r="B3" s="107">
        <f>'Hourly Budget'!D8</f>
        <v>0</v>
      </c>
      <c r="C3" s="108">
        <f>'Hourly Budget'!G8</f>
        <v>105.07760683760684</v>
      </c>
      <c r="D3" s="108">
        <f>'Hourly Budget'!H8</f>
        <v>67.722517606837599</v>
      </c>
      <c r="E3" s="108">
        <f>'Hourly Budget'!I8</f>
        <v>172.80012444444444</v>
      </c>
      <c r="F3" s="121">
        <f>'Hourly Budget'!L8</f>
        <v>0</v>
      </c>
      <c r="G3" s="157">
        <f>E3*((1+Rates!B$13))</f>
        <v>277.34419973333331</v>
      </c>
      <c r="H3" s="157">
        <f>G3*B3</f>
        <v>0</v>
      </c>
    </row>
    <row r="4" spans="1:8" x14ac:dyDescent="0.6">
      <c r="A4" s="115" t="str">
        <f>'Hourly Budget'!A9</f>
        <v>Name (AY)</v>
      </c>
      <c r="B4" s="107">
        <f>'Hourly Budget'!D9</f>
        <v>0</v>
      </c>
      <c r="C4" s="108">
        <f>'Hourly Budget'!G9</f>
        <v>0</v>
      </c>
      <c r="D4" s="108">
        <f>'Hourly Budget'!H9</f>
        <v>0</v>
      </c>
      <c r="E4" s="108">
        <f>'Hourly Budget'!I9</f>
        <v>0</v>
      </c>
      <c r="F4" s="121">
        <f>'Hourly Budget'!L9</f>
        <v>0</v>
      </c>
      <c r="G4" s="157">
        <f>E4*((1+Rates!B$13))</f>
        <v>0</v>
      </c>
      <c r="H4" s="157">
        <f>G4*B4</f>
        <v>0</v>
      </c>
    </row>
    <row r="5" spans="1:8" x14ac:dyDescent="0.6">
      <c r="A5" s="115" t="str">
        <f>'Hourly Budget'!A10</f>
        <v>Name (AY)</v>
      </c>
      <c r="B5" s="107">
        <f>'Hourly Budget'!D10</f>
        <v>0</v>
      </c>
      <c r="C5" s="108">
        <f>'Hourly Budget'!G10</f>
        <v>0</v>
      </c>
      <c r="D5" s="108">
        <f>'Hourly Budget'!H10</f>
        <v>0</v>
      </c>
      <c r="E5" s="108">
        <f>'Hourly Budget'!I10</f>
        <v>0</v>
      </c>
      <c r="F5" s="121">
        <f>'Hourly Budget'!L10</f>
        <v>0</v>
      </c>
      <c r="G5" s="157">
        <f>E5*((1+Rates!B$13))</f>
        <v>0</v>
      </c>
      <c r="H5" s="157">
        <f>G5*B5</f>
        <v>0</v>
      </c>
    </row>
    <row r="6" spans="1:8" x14ac:dyDescent="0.6">
      <c r="A6" s="115" t="str">
        <f>'Hourly Budget'!A11</f>
        <v>Name (AY)</v>
      </c>
      <c r="B6" s="107">
        <f>'Hourly Budget'!D11</f>
        <v>0</v>
      </c>
      <c r="C6" s="108">
        <f>'Hourly Budget'!G11</f>
        <v>0</v>
      </c>
      <c r="D6" s="108">
        <f>'Hourly Budget'!H11</f>
        <v>0</v>
      </c>
      <c r="E6" s="108">
        <f>'Hourly Budget'!I11</f>
        <v>0</v>
      </c>
      <c r="F6" s="121">
        <f>'Hourly Budget'!L11</f>
        <v>0</v>
      </c>
      <c r="G6" s="157">
        <f>E6*((1+Rates!B$13))</f>
        <v>0</v>
      </c>
      <c r="H6" s="157">
        <f t="shared" ref="H6:H32" si="0">G6*B6</f>
        <v>0</v>
      </c>
    </row>
    <row r="7" spans="1:8" x14ac:dyDescent="0.6">
      <c r="A7" s="115" t="str">
        <f>'Hourly Budget'!A12</f>
        <v>Name (AY)</v>
      </c>
      <c r="B7" s="107">
        <f>'Hourly Budget'!D12</f>
        <v>0</v>
      </c>
      <c r="C7" s="108">
        <f>'Hourly Budget'!G12</f>
        <v>0</v>
      </c>
      <c r="D7" s="108">
        <f>'Hourly Budget'!H12</f>
        <v>0</v>
      </c>
      <c r="E7" s="108">
        <f>'Hourly Budget'!I12</f>
        <v>0</v>
      </c>
      <c r="F7" s="121">
        <f>'Hourly Budget'!L12</f>
        <v>0</v>
      </c>
      <c r="G7" s="157">
        <f>E7*((1+Rates!B$13))</f>
        <v>0</v>
      </c>
      <c r="H7" s="157">
        <f t="shared" si="0"/>
        <v>0</v>
      </c>
    </row>
    <row r="8" spans="1:8" x14ac:dyDescent="0.6">
      <c r="A8" s="115" t="str">
        <f>'Hourly Budget'!A13</f>
        <v>Name (CY)</v>
      </c>
      <c r="B8" s="107">
        <f>'Hourly Budget'!D13</f>
        <v>0</v>
      </c>
      <c r="C8" s="108">
        <f>'Hourly Budget'!G13</f>
        <v>0</v>
      </c>
      <c r="D8" s="108">
        <f>'Hourly Budget'!H13</f>
        <v>0</v>
      </c>
      <c r="E8" s="108">
        <f>'Hourly Budget'!I13</f>
        <v>0</v>
      </c>
      <c r="F8" s="121">
        <f>'Hourly Budget'!L13</f>
        <v>0</v>
      </c>
      <c r="G8" s="157">
        <f>E8*((1+Rates!B$13))</f>
        <v>0</v>
      </c>
      <c r="H8" s="157">
        <f t="shared" si="0"/>
        <v>0</v>
      </c>
    </row>
    <row r="9" spans="1:8" x14ac:dyDescent="0.6">
      <c r="A9" s="115" t="str">
        <f>'Hourly Budget'!A14</f>
        <v>Name (CY)</v>
      </c>
      <c r="B9" s="107">
        <f>'Hourly Budget'!D14</f>
        <v>0</v>
      </c>
      <c r="C9" s="108">
        <f>'Hourly Budget'!G14</f>
        <v>0</v>
      </c>
      <c r="D9" s="108">
        <f>'Hourly Budget'!H14</f>
        <v>0</v>
      </c>
      <c r="E9" s="108">
        <f>'Hourly Budget'!I14</f>
        <v>0</v>
      </c>
      <c r="F9" s="121">
        <f>'Hourly Budget'!L14</f>
        <v>0</v>
      </c>
      <c r="G9" s="157">
        <f>E9*((1+Rates!B$13))</f>
        <v>0</v>
      </c>
      <c r="H9" s="157">
        <f t="shared" si="0"/>
        <v>0</v>
      </c>
    </row>
    <row r="10" spans="1:8" x14ac:dyDescent="0.6">
      <c r="A10" s="115" t="str">
        <f>'Hourly Budget'!A15</f>
        <v>Name (CY)</v>
      </c>
      <c r="B10" s="107">
        <f>'Hourly Budget'!D15</f>
        <v>0</v>
      </c>
      <c r="C10" s="108">
        <f>'Hourly Budget'!G15</f>
        <v>0</v>
      </c>
      <c r="D10" s="108">
        <f>'Hourly Budget'!H15</f>
        <v>0</v>
      </c>
      <c r="E10" s="108">
        <f>'Hourly Budget'!I15</f>
        <v>0</v>
      </c>
      <c r="F10" s="121">
        <f>'Hourly Budget'!L15</f>
        <v>0</v>
      </c>
      <c r="G10" s="157">
        <f>E10*((1+Rates!B$13))</f>
        <v>0</v>
      </c>
      <c r="H10" s="157">
        <f t="shared" si="0"/>
        <v>0</v>
      </c>
    </row>
    <row r="11" spans="1:8" x14ac:dyDescent="0.6">
      <c r="A11" s="115" t="str">
        <f>'Hourly Budget'!A16</f>
        <v>Name (CY)</v>
      </c>
      <c r="B11" s="107">
        <f>'Hourly Budget'!D16</f>
        <v>0</v>
      </c>
      <c r="C11" s="108">
        <f>'Hourly Budget'!G16</f>
        <v>0</v>
      </c>
      <c r="D11" s="108">
        <f>'Hourly Budget'!H16</f>
        <v>0</v>
      </c>
      <c r="E11" s="108">
        <f>'Hourly Budget'!I16</f>
        <v>0</v>
      </c>
      <c r="F11" s="121">
        <f>'Hourly Budget'!L16</f>
        <v>0</v>
      </c>
      <c r="G11" s="157">
        <f>E11*((1+Rates!B$13))</f>
        <v>0</v>
      </c>
      <c r="H11" s="157">
        <f t="shared" si="0"/>
        <v>0</v>
      </c>
    </row>
    <row r="12" spans="1:8" x14ac:dyDescent="0.6">
      <c r="A12" s="115" t="str">
        <f>'Hourly Budget'!A17</f>
        <v>Name (CY)</v>
      </c>
      <c r="B12" s="107">
        <f>'Hourly Budget'!D17</f>
        <v>0</v>
      </c>
      <c r="C12" s="108">
        <f>'Hourly Budget'!G17</f>
        <v>0</v>
      </c>
      <c r="D12" s="108">
        <f>'Hourly Budget'!H17</f>
        <v>0</v>
      </c>
      <c r="E12" s="108">
        <f>'Hourly Budget'!I17</f>
        <v>0</v>
      </c>
      <c r="F12" s="121">
        <f>'Hourly Budget'!L17</f>
        <v>0</v>
      </c>
      <c r="G12" s="157">
        <f>E12*((1+Rates!B$13))</f>
        <v>0</v>
      </c>
      <c r="H12" s="157">
        <f t="shared" si="0"/>
        <v>0</v>
      </c>
    </row>
    <row r="13" spans="1:8" x14ac:dyDescent="0.6">
      <c r="A13" s="116" t="str">
        <f>'Hourly Budget'!A23</f>
        <v>Martinez Machain, Carla</v>
      </c>
      <c r="B13" s="113">
        <f>'Hourly Budget'!D23</f>
        <v>325</v>
      </c>
      <c r="C13" s="114">
        <f>'Hourly Budget'!G23</f>
        <v>102.01709401709402</v>
      </c>
      <c r="D13" s="114">
        <f>'Hourly Budget'!H23</f>
        <v>14.282393162393165</v>
      </c>
      <c r="E13" s="114">
        <f>'Hourly Budget'!I23</f>
        <v>116.29948717948719</v>
      </c>
      <c r="F13" s="122">
        <f>'Hourly Budget'!L23</f>
        <v>37797.777777777781</v>
      </c>
      <c r="G13" s="158">
        <f>E13*((1+Rates!B$13))</f>
        <v>186.66067692307692</v>
      </c>
      <c r="H13" s="158">
        <f t="shared" si="0"/>
        <v>60664.72</v>
      </c>
    </row>
    <row r="14" spans="1:8" x14ac:dyDescent="0.6">
      <c r="A14" s="116" t="str">
        <f>'Hourly Budget'!A24</f>
        <v>Name</v>
      </c>
      <c r="B14" s="113">
        <f>'Hourly Budget'!D24</f>
        <v>0</v>
      </c>
      <c r="C14" s="114">
        <f>'Hourly Budget'!G24</f>
        <v>0</v>
      </c>
      <c r="D14" s="114">
        <f>'Hourly Budget'!H24</f>
        <v>0</v>
      </c>
      <c r="E14" s="114">
        <f>'Hourly Budget'!I24</f>
        <v>0</v>
      </c>
      <c r="F14" s="122">
        <f>'Hourly Budget'!L24</f>
        <v>0</v>
      </c>
      <c r="G14" s="158">
        <f>E14*((1+Rates!B$13))</f>
        <v>0</v>
      </c>
      <c r="H14" s="158">
        <f t="shared" si="0"/>
        <v>0</v>
      </c>
    </row>
    <row r="15" spans="1:8" x14ac:dyDescent="0.6">
      <c r="A15" s="116" t="str">
        <f>'Hourly Budget'!A25</f>
        <v>Name</v>
      </c>
      <c r="B15" s="113">
        <f>'Hourly Budget'!D25</f>
        <v>0</v>
      </c>
      <c r="C15" s="114">
        <f>'Hourly Budget'!G25</f>
        <v>0</v>
      </c>
      <c r="D15" s="114">
        <f>'Hourly Budget'!H25</f>
        <v>0</v>
      </c>
      <c r="E15" s="114">
        <f>'Hourly Budget'!I25</f>
        <v>0</v>
      </c>
      <c r="F15" s="122">
        <f>'Hourly Budget'!L25</f>
        <v>0</v>
      </c>
      <c r="G15" s="158">
        <f>E15*((1+Rates!B$13))</f>
        <v>0</v>
      </c>
      <c r="H15" s="158">
        <f t="shared" si="0"/>
        <v>0</v>
      </c>
    </row>
    <row r="16" spans="1:8" x14ac:dyDescent="0.6">
      <c r="A16" s="116" t="str">
        <f>'Hourly Budget'!A26</f>
        <v>Name</v>
      </c>
      <c r="B16" s="113">
        <f>'Hourly Budget'!D26</f>
        <v>0</v>
      </c>
      <c r="C16" s="114">
        <f>'Hourly Budget'!G26</f>
        <v>0</v>
      </c>
      <c r="D16" s="114">
        <f>'Hourly Budget'!H26</f>
        <v>0</v>
      </c>
      <c r="E16" s="114">
        <f>'Hourly Budget'!I26</f>
        <v>0</v>
      </c>
      <c r="F16" s="122">
        <f>'Hourly Budget'!L26</f>
        <v>0</v>
      </c>
      <c r="G16" s="158">
        <f>E16*((1+Rates!B$13))</f>
        <v>0</v>
      </c>
      <c r="H16" s="158">
        <f t="shared" si="0"/>
        <v>0</v>
      </c>
    </row>
    <row r="17" spans="1:8" x14ac:dyDescent="0.6">
      <c r="A17" s="116" t="str">
        <f>'Hourly Budget'!A27</f>
        <v>Name</v>
      </c>
      <c r="B17" s="113">
        <f>'Hourly Budget'!D27</f>
        <v>0</v>
      </c>
      <c r="C17" s="114">
        <f>'Hourly Budget'!G27</f>
        <v>0</v>
      </c>
      <c r="D17" s="114">
        <f>'Hourly Budget'!H27</f>
        <v>0</v>
      </c>
      <c r="E17" s="114">
        <f>'Hourly Budget'!I27</f>
        <v>0</v>
      </c>
      <c r="F17" s="122">
        <f>'Hourly Budget'!L27</f>
        <v>0</v>
      </c>
      <c r="G17" s="158">
        <f>E17*((1+Rates!B$13))</f>
        <v>0</v>
      </c>
      <c r="H17" s="158">
        <f t="shared" si="0"/>
        <v>0</v>
      </c>
    </row>
    <row r="18" spans="1:8" x14ac:dyDescent="0.6">
      <c r="A18" s="117" t="str">
        <f>'Hourly Budget'!A33</f>
        <v>Name</v>
      </c>
      <c r="B18" s="111">
        <f>'Hourly Budget'!D33</f>
        <v>0</v>
      </c>
      <c r="C18" s="112">
        <f>'Hourly Budget'!G33</f>
        <v>0</v>
      </c>
      <c r="D18" s="112">
        <f>'Hourly Budget'!H33</f>
        <v>0</v>
      </c>
      <c r="E18" s="112">
        <f>'Hourly Budget'!I33</f>
        <v>0</v>
      </c>
      <c r="F18" s="123">
        <f>'Hourly Budget'!L33</f>
        <v>0</v>
      </c>
      <c r="G18" s="159">
        <f>E18*((1+Rates!B$13))</f>
        <v>0</v>
      </c>
      <c r="H18" s="159">
        <f t="shared" si="0"/>
        <v>0</v>
      </c>
    </row>
    <row r="19" spans="1:8" x14ac:dyDescent="0.6">
      <c r="A19" s="117" t="str">
        <f>'Hourly Budget'!A34</f>
        <v>Name</v>
      </c>
      <c r="B19" s="111">
        <f>'Hourly Budget'!D34</f>
        <v>0</v>
      </c>
      <c r="C19" s="112">
        <f>'Hourly Budget'!G34</f>
        <v>0</v>
      </c>
      <c r="D19" s="112">
        <f>'Hourly Budget'!H34</f>
        <v>0</v>
      </c>
      <c r="E19" s="112">
        <f>'Hourly Budget'!I34</f>
        <v>0</v>
      </c>
      <c r="F19" s="123">
        <f>'Hourly Budget'!L34</f>
        <v>0</v>
      </c>
      <c r="G19" s="159">
        <f>E19*((1+Rates!B$13))</f>
        <v>0</v>
      </c>
      <c r="H19" s="159">
        <f t="shared" si="0"/>
        <v>0</v>
      </c>
    </row>
    <row r="20" spans="1:8" x14ac:dyDescent="0.6">
      <c r="A20" s="117" t="str">
        <f>'Hourly Budget'!A35</f>
        <v>Name</v>
      </c>
      <c r="B20" s="111">
        <f>'Hourly Budget'!D35</f>
        <v>0</v>
      </c>
      <c r="C20" s="112">
        <f>'Hourly Budget'!G35</f>
        <v>0</v>
      </c>
      <c r="D20" s="112">
        <f>'Hourly Budget'!H35</f>
        <v>0</v>
      </c>
      <c r="E20" s="112">
        <f>'Hourly Budget'!I35</f>
        <v>0</v>
      </c>
      <c r="F20" s="123">
        <f>'Hourly Budget'!L35</f>
        <v>0</v>
      </c>
      <c r="G20" s="159">
        <f>E20*((1+Rates!B$13))</f>
        <v>0</v>
      </c>
      <c r="H20" s="159">
        <f t="shared" si="0"/>
        <v>0</v>
      </c>
    </row>
    <row r="21" spans="1:8" x14ac:dyDescent="0.6">
      <c r="A21" s="118" t="str">
        <f>'Hourly Budget'!A41</f>
        <v>Name (CY)</v>
      </c>
      <c r="B21" s="109">
        <f>'Hourly Budget'!D41</f>
        <v>0</v>
      </c>
      <c r="C21" s="110">
        <f>'Hourly Budget'!G41</f>
        <v>0</v>
      </c>
      <c r="D21" s="110">
        <f>'Hourly Budget'!H41</f>
        <v>0</v>
      </c>
      <c r="E21" s="110">
        <f>'Hourly Budget'!I41</f>
        <v>0</v>
      </c>
      <c r="F21" s="124">
        <f>'Hourly Budget'!L41</f>
        <v>0</v>
      </c>
      <c r="G21" s="160">
        <f>E21*((1+Rates!B$13))</f>
        <v>0</v>
      </c>
      <c r="H21" s="160">
        <f t="shared" si="0"/>
        <v>0</v>
      </c>
    </row>
    <row r="22" spans="1:8" x14ac:dyDescent="0.6">
      <c r="A22" s="118" t="str">
        <f>'Hourly Budget'!A42</f>
        <v>Name (CY)</v>
      </c>
      <c r="B22" s="109">
        <f>'Hourly Budget'!D42</f>
        <v>0</v>
      </c>
      <c r="C22" s="110">
        <f>'Hourly Budget'!G42</f>
        <v>0</v>
      </c>
      <c r="D22" s="110">
        <f>'Hourly Budget'!H42</f>
        <v>0</v>
      </c>
      <c r="E22" s="110">
        <f>'Hourly Budget'!I42</f>
        <v>0</v>
      </c>
      <c r="F22" s="124">
        <f>'Hourly Budget'!L42</f>
        <v>0</v>
      </c>
      <c r="G22" s="160">
        <f>E22*((1+Rates!B$13))</f>
        <v>0</v>
      </c>
      <c r="H22" s="160">
        <f t="shared" si="0"/>
        <v>0</v>
      </c>
    </row>
    <row r="23" spans="1:8" x14ac:dyDescent="0.6">
      <c r="A23" s="118" t="str">
        <f>'Hourly Budget'!A43</f>
        <v>Name (CY)</v>
      </c>
      <c r="B23" s="109">
        <f>'Hourly Budget'!D43</f>
        <v>0</v>
      </c>
      <c r="C23" s="110">
        <f>'Hourly Budget'!G43</f>
        <v>0</v>
      </c>
      <c r="D23" s="110">
        <f>'Hourly Budget'!H43</f>
        <v>0</v>
      </c>
      <c r="E23" s="110">
        <f>'Hourly Budget'!I43</f>
        <v>0</v>
      </c>
      <c r="F23" s="124">
        <f>'Hourly Budget'!L43</f>
        <v>0</v>
      </c>
      <c r="G23" s="160">
        <f>E23*((1+Rates!B$13))</f>
        <v>0</v>
      </c>
      <c r="H23" s="160">
        <f t="shared" si="0"/>
        <v>0</v>
      </c>
    </row>
    <row r="24" spans="1:8" x14ac:dyDescent="0.6">
      <c r="A24" s="118" t="str">
        <f>'Hourly Budget'!A44</f>
        <v>Name (AY)</v>
      </c>
      <c r="B24" s="109">
        <f>'Hourly Budget'!D44</f>
        <v>0</v>
      </c>
      <c r="C24" s="110">
        <f>'Hourly Budget'!G44</f>
        <v>0</v>
      </c>
      <c r="D24" s="110">
        <f>'Hourly Budget'!H44</f>
        <v>0</v>
      </c>
      <c r="E24" s="110">
        <f>'Hourly Budget'!I44</f>
        <v>0</v>
      </c>
      <c r="F24" s="124">
        <f>'Hourly Budget'!L44</f>
        <v>0</v>
      </c>
      <c r="G24" s="160">
        <f>E24*((1+Rates!B$13))</f>
        <v>0</v>
      </c>
      <c r="H24" s="160">
        <f t="shared" si="0"/>
        <v>0</v>
      </c>
    </row>
    <row r="25" spans="1:8" x14ac:dyDescent="0.6">
      <c r="A25" s="118" t="str">
        <f>'Hourly Budget'!A45</f>
        <v>Name (AY)</v>
      </c>
      <c r="B25" s="109">
        <f>'Hourly Budget'!D45</f>
        <v>0</v>
      </c>
      <c r="C25" s="110">
        <f>'Hourly Budget'!G45</f>
        <v>0</v>
      </c>
      <c r="D25" s="110">
        <f>'Hourly Budget'!H45</f>
        <v>0</v>
      </c>
      <c r="E25" s="110">
        <f>'Hourly Budget'!I45</f>
        <v>0</v>
      </c>
      <c r="F25" s="124">
        <f>'Hourly Budget'!L45</f>
        <v>0</v>
      </c>
      <c r="G25" s="160">
        <f>E25*((1+Rates!B$13))</f>
        <v>0</v>
      </c>
      <c r="H25" s="160">
        <f t="shared" si="0"/>
        <v>0</v>
      </c>
    </row>
    <row r="26" spans="1:8" x14ac:dyDescent="0.6">
      <c r="A26" s="118" t="str">
        <f>'Hourly Budget'!A46</f>
        <v>Name (AY)</v>
      </c>
      <c r="B26" s="109">
        <f>'Hourly Budget'!D46</f>
        <v>0</v>
      </c>
      <c r="C26" s="110">
        <f>'Hourly Budget'!G46</f>
        <v>0</v>
      </c>
      <c r="D26" s="110">
        <f>'Hourly Budget'!H46</f>
        <v>0</v>
      </c>
      <c r="E26" s="110">
        <f>'Hourly Budget'!I46</f>
        <v>0</v>
      </c>
      <c r="F26" s="124">
        <f>'Hourly Budget'!L46</f>
        <v>0</v>
      </c>
      <c r="G26" s="160">
        <f>E26*((1+Rates!B$13))</f>
        <v>0</v>
      </c>
      <c r="H26" s="160">
        <f t="shared" si="0"/>
        <v>0</v>
      </c>
    </row>
    <row r="27" spans="1:8" x14ac:dyDescent="0.6">
      <c r="A27" s="118" t="str">
        <f>'Hourly Budget'!A47</f>
        <v>Name (Summer)</v>
      </c>
      <c r="B27" s="109">
        <f>'Hourly Budget'!D47</f>
        <v>0</v>
      </c>
      <c r="C27" s="110">
        <f>'Hourly Budget'!G47</f>
        <v>0</v>
      </c>
      <c r="D27" s="110">
        <f>'Hourly Budget'!H47</f>
        <v>0</v>
      </c>
      <c r="E27" s="110">
        <f>'Hourly Budget'!I47</f>
        <v>0</v>
      </c>
      <c r="F27" s="124">
        <f>'Hourly Budget'!L47</f>
        <v>0</v>
      </c>
      <c r="G27" s="160">
        <f>E27*((1+Rates!B$13))</f>
        <v>0</v>
      </c>
      <c r="H27" s="160">
        <f t="shared" si="0"/>
        <v>0</v>
      </c>
    </row>
    <row r="28" spans="1:8" x14ac:dyDescent="0.6">
      <c r="A28" s="118" t="str">
        <f>'Hourly Budget'!A48</f>
        <v>Name (Summer)</v>
      </c>
      <c r="B28" s="109">
        <f>'Hourly Budget'!D48</f>
        <v>0</v>
      </c>
      <c r="C28" s="110">
        <f>'Hourly Budget'!G48</f>
        <v>0</v>
      </c>
      <c r="D28" s="110">
        <f>'Hourly Budget'!H48</f>
        <v>0</v>
      </c>
      <c r="E28" s="110">
        <f>'Hourly Budget'!I48</f>
        <v>0</v>
      </c>
      <c r="F28" s="124">
        <f>'Hourly Budget'!L48</f>
        <v>0</v>
      </c>
      <c r="G28" s="160">
        <f>E28*((1+Rates!B$13))</f>
        <v>0</v>
      </c>
      <c r="H28" s="160">
        <f t="shared" si="0"/>
        <v>0</v>
      </c>
    </row>
    <row r="29" spans="1:8" x14ac:dyDescent="0.6">
      <c r="A29" s="118" t="str">
        <f>'Hourly Budget'!A49</f>
        <v>Name (Summer)</v>
      </c>
      <c r="B29" s="109">
        <f>'Hourly Budget'!D49</f>
        <v>0</v>
      </c>
      <c r="C29" s="110">
        <f>'Hourly Budget'!G49</f>
        <v>0</v>
      </c>
      <c r="D29" s="110">
        <f>'Hourly Budget'!H49</f>
        <v>0</v>
      </c>
      <c r="E29" s="110">
        <f>'Hourly Budget'!I49</f>
        <v>0</v>
      </c>
      <c r="F29" s="124">
        <f>'Hourly Budget'!L49</f>
        <v>0</v>
      </c>
      <c r="G29" s="160">
        <f>E29*((1+Rates!B$13))</f>
        <v>0</v>
      </c>
      <c r="H29" s="160">
        <f t="shared" si="0"/>
        <v>0</v>
      </c>
    </row>
    <row r="30" spans="1:8" x14ac:dyDescent="0.6">
      <c r="A30" s="69" t="str">
        <f>'Hourly Budget'!A55</f>
        <v>TBN Undergraduate *Hourly</v>
      </c>
      <c r="B30" s="71">
        <f>'Hourly Budget'!D55</f>
        <v>0</v>
      </c>
      <c r="C30" s="101">
        <f>'Hourly Budget'!G55</f>
        <v>0</v>
      </c>
      <c r="D30" s="101">
        <f>'Hourly Budget'!H55</f>
        <v>0</v>
      </c>
      <c r="E30" s="101">
        <f>'Hourly Budget'!I55</f>
        <v>0</v>
      </c>
      <c r="F30" s="125">
        <f>'Hourly Budget'!L55</f>
        <v>0</v>
      </c>
      <c r="G30" s="161">
        <f>E30*((1+Rates!B$13))</f>
        <v>0</v>
      </c>
      <c r="H30" s="161">
        <f>G30*B30</f>
        <v>0</v>
      </c>
    </row>
    <row r="31" spans="1:8" x14ac:dyDescent="0.6">
      <c r="A31" s="69" t="str">
        <f>'Hourly Budget'!A56</f>
        <v>Name</v>
      </c>
      <c r="B31" s="71">
        <f>'Hourly Budget'!D56</f>
        <v>0</v>
      </c>
      <c r="C31" s="101">
        <f>'Hourly Budget'!G56</f>
        <v>0</v>
      </c>
      <c r="D31" s="101">
        <f>'Hourly Budget'!H56</f>
        <v>0</v>
      </c>
      <c r="E31" s="101">
        <f>'Hourly Budget'!I56</f>
        <v>0</v>
      </c>
      <c r="F31" s="125">
        <f>'Hourly Budget'!L56</f>
        <v>0</v>
      </c>
      <c r="G31" s="161">
        <f>E31*((1+Rates!B$13))</f>
        <v>0</v>
      </c>
      <c r="H31" s="161">
        <f t="shared" si="0"/>
        <v>0</v>
      </c>
    </row>
    <row r="32" spans="1:8" x14ac:dyDescent="0.6">
      <c r="A32" s="69" t="str">
        <f>'Hourly Budget'!A57</f>
        <v>Name</v>
      </c>
      <c r="B32" s="71">
        <f>'Hourly Budget'!D57</f>
        <v>0</v>
      </c>
      <c r="C32" s="101">
        <f>'Hourly Budget'!G57</f>
        <v>0</v>
      </c>
      <c r="D32" s="101">
        <f>'Hourly Budget'!H57</f>
        <v>0</v>
      </c>
      <c r="E32" s="101">
        <f>'Hourly Budget'!I57</f>
        <v>0</v>
      </c>
      <c r="F32" s="125">
        <f>'Hourly Budget'!L57</f>
        <v>0</v>
      </c>
      <c r="G32" s="161">
        <f>E32*((1+Rates!B$13))</f>
        <v>0</v>
      </c>
      <c r="H32" s="161">
        <f t="shared" si="0"/>
        <v>0</v>
      </c>
    </row>
    <row r="33" spans="1:8" x14ac:dyDescent="0.6">
      <c r="A33" s="175" t="str">
        <f>'Hourly Budget'!A63</f>
        <v>Name</v>
      </c>
      <c r="B33" s="176">
        <f>'Hourly Budget'!D63</f>
        <v>0</v>
      </c>
      <c r="C33" s="177">
        <f>'Hourly Budget'!G63</f>
        <v>0</v>
      </c>
      <c r="D33" s="177">
        <f>'Hourly Budget'!H63</f>
        <v>0</v>
      </c>
      <c r="E33" s="177">
        <f>'Hourly Budget'!I63</f>
        <v>0</v>
      </c>
      <c r="F33" s="178">
        <f>'Hourly Budget'!L63</f>
        <v>0</v>
      </c>
      <c r="G33" s="179">
        <f>E33*((1+Rates!B$13))</f>
        <v>0</v>
      </c>
      <c r="H33" s="179">
        <f>G33*B33</f>
        <v>0</v>
      </c>
    </row>
    <row r="34" spans="1:8" x14ac:dyDescent="0.6">
      <c r="A34" s="175" t="str">
        <f>'Hourly Budget'!A64</f>
        <v>Name</v>
      </c>
      <c r="B34" s="176">
        <f>'Hourly Budget'!D64</f>
        <v>0</v>
      </c>
      <c r="C34" s="177">
        <f>'Hourly Budget'!G64</f>
        <v>0</v>
      </c>
      <c r="D34" s="177">
        <f>'Hourly Budget'!H64</f>
        <v>0</v>
      </c>
      <c r="E34" s="177">
        <f>'Hourly Budget'!I64</f>
        <v>0</v>
      </c>
      <c r="F34" s="178">
        <f>'Hourly Budget'!L64</f>
        <v>0</v>
      </c>
      <c r="G34" s="179">
        <f>E34*((1+Rates!B$13))</f>
        <v>0</v>
      </c>
      <c r="H34" s="179">
        <f>G34*B34</f>
        <v>0</v>
      </c>
    </row>
    <row r="35" spans="1:8" x14ac:dyDescent="0.6">
      <c r="A35" s="175" t="str">
        <f>'Hourly Budget'!A65</f>
        <v>Name</v>
      </c>
      <c r="B35" s="176">
        <f>'Hourly Budget'!D65</f>
        <v>0</v>
      </c>
      <c r="C35" s="177">
        <f>'Hourly Budget'!G65</f>
        <v>0</v>
      </c>
      <c r="D35" s="177">
        <f>'Hourly Budget'!H65</f>
        <v>0</v>
      </c>
      <c r="E35" s="177">
        <f>'Hourly Budget'!I65</f>
        <v>0</v>
      </c>
      <c r="F35" s="178">
        <f>'Hourly Budget'!L65</f>
        <v>0</v>
      </c>
      <c r="G35" s="179">
        <f>E35*((1+Rates!B$13))</f>
        <v>0</v>
      </c>
      <c r="H35" s="179">
        <f>G35*B35</f>
        <v>0</v>
      </c>
    </row>
    <row r="36" spans="1:8" x14ac:dyDescent="0.6">
      <c r="B36" s="12"/>
      <c r="C36" s="93"/>
      <c r="D36" s="93"/>
      <c r="E36" s="100" t="s">
        <v>2</v>
      </c>
      <c r="F36" s="100">
        <f>SUM(F3:F35)</f>
        <v>37797.777777777781</v>
      </c>
      <c r="H36" s="162">
        <f>SUM(H3:H35)</f>
        <v>60664.72</v>
      </c>
    </row>
    <row r="37" spans="1:8" x14ac:dyDescent="0.6">
      <c r="B37" s="12"/>
      <c r="E37" s="93"/>
      <c r="F37" s="93"/>
    </row>
    <row r="38" spans="1:8" ht="15.5" x14ac:dyDescent="0.7">
      <c r="A38" s="2" t="s">
        <v>11</v>
      </c>
      <c r="B38" s="12"/>
      <c r="E38" s="93"/>
      <c r="F38" s="93"/>
    </row>
    <row r="39" spans="1:8" x14ac:dyDescent="0.6">
      <c r="A39" s="115" t="str">
        <f>'Hourly Budget'!A8</f>
        <v>Martinez Machain, Carla (AY)</v>
      </c>
      <c r="B39" s="107">
        <f>'Hourly Budget'!O8</f>
        <v>0</v>
      </c>
      <c r="C39" s="108">
        <f>'Hourly Budget'!R8</f>
        <v>107.17915897435897</v>
      </c>
      <c r="D39" s="108">
        <f>'Hourly Budget'!S8</f>
        <v>70.148759548717948</v>
      </c>
      <c r="E39" s="108">
        <f>'Hourly Budget'!T8</f>
        <v>177.3279185230769</v>
      </c>
      <c r="F39" s="121">
        <f>'Hourly Budget'!W8</f>
        <v>0</v>
      </c>
      <c r="G39" s="157">
        <f>E39*((1+Rates!C$13))</f>
        <v>285.49794882215377</v>
      </c>
      <c r="H39" s="157">
        <f>G39*B39</f>
        <v>0</v>
      </c>
    </row>
    <row r="40" spans="1:8" x14ac:dyDescent="0.6">
      <c r="A40" s="115" t="str">
        <f>'Hourly Budget'!A9</f>
        <v>Name (AY)</v>
      </c>
      <c r="B40" s="107">
        <f>'Hourly Budget'!O9</f>
        <v>0</v>
      </c>
      <c r="C40" s="108">
        <f>'Hourly Budget'!R9</f>
        <v>0</v>
      </c>
      <c r="D40" s="108">
        <f>'Hourly Budget'!S9</f>
        <v>0</v>
      </c>
      <c r="E40" s="108">
        <f>'Hourly Budget'!T9</f>
        <v>0</v>
      </c>
      <c r="F40" s="121">
        <f>'Hourly Budget'!W9</f>
        <v>0</v>
      </c>
      <c r="G40" s="157">
        <f>E40*((1+Rates!C$13))</f>
        <v>0</v>
      </c>
      <c r="H40" s="157">
        <f>G40*B40</f>
        <v>0</v>
      </c>
    </row>
    <row r="41" spans="1:8" x14ac:dyDescent="0.6">
      <c r="A41" s="115" t="str">
        <f>'Hourly Budget'!A10</f>
        <v>Name (AY)</v>
      </c>
      <c r="B41" s="107">
        <f>'Hourly Budget'!O10</f>
        <v>0</v>
      </c>
      <c r="C41" s="108">
        <f>'Hourly Budget'!R10</f>
        <v>0</v>
      </c>
      <c r="D41" s="108">
        <f>'Hourly Budget'!S10</f>
        <v>0</v>
      </c>
      <c r="E41" s="108">
        <f>'Hourly Budget'!T10</f>
        <v>0</v>
      </c>
      <c r="F41" s="121">
        <f>'Hourly Budget'!W10</f>
        <v>0</v>
      </c>
      <c r="G41" s="157">
        <f>E41*((1+Rates!C$13))</f>
        <v>0</v>
      </c>
      <c r="H41" s="157">
        <f>G41*B41</f>
        <v>0</v>
      </c>
    </row>
    <row r="42" spans="1:8" x14ac:dyDescent="0.6">
      <c r="A42" s="115" t="str">
        <f>'Hourly Budget'!A11</f>
        <v>Name (AY)</v>
      </c>
      <c r="B42" s="107">
        <f>'Hourly Budget'!O11</f>
        <v>0</v>
      </c>
      <c r="C42" s="108">
        <f>'Hourly Budget'!R11</f>
        <v>0</v>
      </c>
      <c r="D42" s="108">
        <f>'Hourly Budget'!S11</f>
        <v>0</v>
      </c>
      <c r="E42" s="108">
        <f>'Hourly Budget'!T11</f>
        <v>0</v>
      </c>
      <c r="F42" s="121">
        <f>'Hourly Budget'!W11</f>
        <v>0</v>
      </c>
      <c r="G42" s="157">
        <f>E42*((1+Rates!C$13))</f>
        <v>0</v>
      </c>
      <c r="H42" s="157">
        <f t="shared" ref="H42:H68" si="1">G42*B42</f>
        <v>0</v>
      </c>
    </row>
    <row r="43" spans="1:8" x14ac:dyDescent="0.6">
      <c r="A43" s="115" t="str">
        <f>'Hourly Budget'!A12</f>
        <v>Name (AY)</v>
      </c>
      <c r="B43" s="107">
        <f>'Hourly Budget'!O12</f>
        <v>0</v>
      </c>
      <c r="C43" s="108">
        <f>'Hourly Budget'!R12</f>
        <v>0</v>
      </c>
      <c r="D43" s="108">
        <f>'Hourly Budget'!S12</f>
        <v>0</v>
      </c>
      <c r="E43" s="108">
        <f>'Hourly Budget'!T12</f>
        <v>0</v>
      </c>
      <c r="F43" s="121">
        <f>'Hourly Budget'!W12</f>
        <v>0</v>
      </c>
      <c r="G43" s="157">
        <f>E43*((1+Rates!C$13))</f>
        <v>0</v>
      </c>
      <c r="H43" s="157">
        <f t="shared" si="1"/>
        <v>0</v>
      </c>
    </row>
    <row r="44" spans="1:8" x14ac:dyDescent="0.6">
      <c r="A44" s="115" t="str">
        <f>'Hourly Budget'!A13</f>
        <v>Name (CY)</v>
      </c>
      <c r="B44" s="107">
        <f>'Hourly Budget'!O13</f>
        <v>0</v>
      </c>
      <c r="C44" s="108">
        <f>'Hourly Budget'!R13</f>
        <v>0</v>
      </c>
      <c r="D44" s="108">
        <f>'Hourly Budget'!S13</f>
        <v>0</v>
      </c>
      <c r="E44" s="108">
        <f>'Hourly Budget'!T13</f>
        <v>0</v>
      </c>
      <c r="F44" s="121">
        <f>'Hourly Budget'!W13</f>
        <v>0</v>
      </c>
      <c r="G44" s="157">
        <f>E44*((1+Rates!C$13))</f>
        <v>0</v>
      </c>
      <c r="H44" s="157">
        <f t="shared" si="1"/>
        <v>0</v>
      </c>
    </row>
    <row r="45" spans="1:8" x14ac:dyDescent="0.6">
      <c r="A45" s="115" t="str">
        <f>'Hourly Budget'!A14</f>
        <v>Name (CY)</v>
      </c>
      <c r="B45" s="107">
        <f>'Hourly Budget'!O14</f>
        <v>0</v>
      </c>
      <c r="C45" s="108">
        <f>'Hourly Budget'!R14</f>
        <v>0</v>
      </c>
      <c r="D45" s="108">
        <f>'Hourly Budget'!S14</f>
        <v>0</v>
      </c>
      <c r="E45" s="108">
        <f>'Hourly Budget'!T14</f>
        <v>0</v>
      </c>
      <c r="F45" s="121">
        <f>'Hourly Budget'!W14</f>
        <v>0</v>
      </c>
      <c r="G45" s="157">
        <f>E45*((1+Rates!C$13))</f>
        <v>0</v>
      </c>
      <c r="H45" s="157">
        <f t="shared" si="1"/>
        <v>0</v>
      </c>
    </row>
    <row r="46" spans="1:8" x14ac:dyDescent="0.6">
      <c r="A46" s="115" t="str">
        <f>'Hourly Budget'!A15</f>
        <v>Name (CY)</v>
      </c>
      <c r="B46" s="107">
        <f>'Hourly Budget'!O15</f>
        <v>0</v>
      </c>
      <c r="C46" s="108">
        <f>'Hourly Budget'!R15</f>
        <v>0</v>
      </c>
      <c r="D46" s="108">
        <f>'Hourly Budget'!S15</f>
        <v>0</v>
      </c>
      <c r="E46" s="108">
        <f>'Hourly Budget'!T15</f>
        <v>0</v>
      </c>
      <c r="F46" s="121">
        <f>'Hourly Budget'!W15</f>
        <v>0</v>
      </c>
      <c r="G46" s="157">
        <f>E46*((1+Rates!C$13))</f>
        <v>0</v>
      </c>
      <c r="H46" s="157">
        <f t="shared" si="1"/>
        <v>0</v>
      </c>
    </row>
    <row r="47" spans="1:8" x14ac:dyDescent="0.6">
      <c r="A47" s="115" t="str">
        <f>'Hourly Budget'!A16</f>
        <v>Name (CY)</v>
      </c>
      <c r="B47" s="107">
        <f>'Hourly Budget'!O16</f>
        <v>0</v>
      </c>
      <c r="C47" s="108">
        <f>'Hourly Budget'!R16</f>
        <v>0</v>
      </c>
      <c r="D47" s="108">
        <f>'Hourly Budget'!S16</f>
        <v>0</v>
      </c>
      <c r="E47" s="108">
        <f>'Hourly Budget'!T16</f>
        <v>0</v>
      </c>
      <c r="F47" s="121">
        <f>'Hourly Budget'!W16</f>
        <v>0</v>
      </c>
      <c r="G47" s="157">
        <f>E47*((1+Rates!C$13))</f>
        <v>0</v>
      </c>
      <c r="H47" s="157">
        <f t="shared" si="1"/>
        <v>0</v>
      </c>
    </row>
    <row r="48" spans="1:8" x14ac:dyDescent="0.6">
      <c r="A48" s="115" t="str">
        <f>'Hourly Budget'!A17</f>
        <v>Name (CY)</v>
      </c>
      <c r="B48" s="107">
        <f>'Hourly Budget'!O17</f>
        <v>0</v>
      </c>
      <c r="C48" s="108">
        <f>'Hourly Budget'!R17</f>
        <v>0</v>
      </c>
      <c r="D48" s="108">
        <f>'Hourly Budget'!S17</f>
        <v>0</v>
      </c>
      <c r="E48" s="108">
        <f>'Hourly Budget'!T17</f>
        <v>0</v>
      </c>
      <c r="F48" s="121">
        <f>'Hourly Budget'!W17</f>
        <v>0</v>
      </c>
      <c r="G48" s="157">
        <f>E48*((1+Rates!C$13))</f>
        <v>0</v>
      </c>
      <c r="H48" s="157">
        <f t="shared" si="1"/>
        <v>0</v>
      </c>
    </row>
    <row r="49" spans="1:8" x14ac:dyDescent="0.6">
      <c r="A49" s="116" t="str">
        <f>'Hourly Budget'!A23</f>
        <v>Martinez Machain, Carla</v>
      </c>
      <c r="B49" s="113">
        <f>'Hourly Budget'!O23</f>
        <v>0</v>
      </c>
      <c r="C49" s="114">
        <f>'Hourly Budget'!R23</f>
        <v>104.05743589743589</v>
      </c>
      <c r="D49" s="114">
        <f>'Hourly Budget'!S23</f>
        <v>15.088328205128203</v>
      </c>
      <c r="E49" s="114">
        <f>'Hourly Budget'!T23</f>
        <v>119.1457641025641</v>
      </c>
      <c r="F49" s="122">
        <f>'Hourly Budget'!W23</f>
        <v>0</v>
      </c>
      <c r="G49" s="158">
        <f>E49*((1+Rates!C$13))</f>
        <v>191.82468020512817</v>
      </c>
      <c r="H49" s="158">
        <f t="shared" si="1"/>
        <v>0</v>
      </c>
    </row>
    <row r="50" spans="1:8" x14ac:dyDescent="0.6">
      <c r="A50" s="116" t="str">
        <f>'Hourly Budget'!A24</f>
        <v>Name</v>
      </c>
      <c r="B50" s="113">
        <f>'Hourly Budget'!O24</f>
        <v>0</v>
      </c>
      <c r="C50" s="114">
        <f>'Hourly Budget'!R24</f>
        <v>0</v>
      </c>
      <c r="D50" s="114">
        <f>'Hourly Budget'!S24</f>
        <v>0</v>
      </c>
      <c r="E50" s="114">
        <f>'Hourly Budget'!T24</f>
        <v>0</v>
      </c>
      <c r="F50" s="122">
        <f>'Hourly Budget'!W24</f>
        <v>0</v>
      </c>
      <c r="G50" s="158">
        <f>E50*((1+Rates!C$13))</f>
        <v>0</v>
      </c>
      <c r="H50" s="158">
        <f t="shared" si="1"/>
        <v>0</v>
      </c>
    </row>
    <row r="51" spans="1:8" x14ac:dyDescent="0.6">
      <c r="A51" s="116" t="str">
        <f>'Hourly Budget'!A25</f>
        <v>Name</v>
      </c>
      <c r="B51" s="113">
        <f>'Hourly Budget'!O25</f>
        <v>0</v>
      </c>
      <c r="C51" s="114">
        <f>'Hourly Budget'!R25</f>
        <v>0</v>
      </c>
      <c r="D51" s="114">
        <f>'Hourly Budget'!S25</f>
        <v>0</v>
      </c>
      <c r="E51" s="114">
        <f>'Hourly Budget'!T25</f>
        <v>0</v>
      </c>
      <c r="F51" s="122">
        <f>'Hourly Budget'!W25</f>
        <v>0</v>
      </c>
      <c r="G51" s="158">
        <f>E51*((1+Rates!C$13))</f>
        <v>0</v>
      </c>
      <c r="H51" s="158">
        <f t="shared" si="1"/>
        <v>0</v>
      </c>
    </row>
    <row r="52" spans="1:8" x14ac:dyDescent="0.6">
      <c r="A52" s="116" t="str">
        <f>'Hourly Budget'!A26</f>
        <v>Name</v>
      </c>
      <c r="B52" s="113">
        <f>'Hourly Budget'!O26</f>
        <v>0</v>
      </c>
      <c r="C52" s="114">
        <f>'Hourly Budget'!R26</f>
        <v>0</v>
      </c>
      <c r="D52" s="114">
        <f>'Hourly Budget'!S26</f>
        <v>0</v>
      </c>
      <c r="E52" s="114">
        <f>'Hourly Budget'!T26</f>
        <v>0</v>
      </c>
      <c r="F52" s="122">
        <f>'Hourly Budget'!W26</f>
        <v>0</v>
      </c>
      <c r="G52" s="158">
        <f>E52*((1+Rates!C$13))</f>
        <v>0</v>
      </c>
      <c r="H52" s="158">
        <f t="shared" si="1"/>
        <v>0</v>
      </c>
    </row>
    <row r="53" spans="1:8" x14ac:dyDescent="0.6">
      <c r="A53" s="116" t="str">
        <f>'Hourly Budget'!A27</f>
        <v>Name</v>
      </c>
      <c r="B53" s="113">
        <f>'Hourly Budget'!O27</f>
        <v>0</v>
      </c>
      <c r="C53" s="114">
        <f>'Hourly Budget'!R27</f>
        <v>0</v>
      </c>
      <c r="D53" s="114">
        <f>'Hourly Budget'!S27</f>
        <v>0</v>
      </c>
      <c r="E53" s="114">
        <f>'Hourly Budget'!T27</f>
        <v>0</v>
      </c>
      <c r="F53" s="122">
        <f>'Hourly Budget'!W27</f>
        <v>0</v>
      </c>
      <c r="G53" s="158">
        <f>E53*((1+Rates!C$13))</f>
        <v>0</v>
      </c>
      <c r="H53" s="158">
        <f t="shared" si="1"/>
        <v>0</v>
      </c>
    </row>
    <row r="54" spans="1:8" x14ac:dyDescent="0.6">
      <c r="A54" s="117" t="str">
        <f>'Hourly Budget'!A33</f>
        <v>Name</v>
      </c>
      <c r="B54" s="111">
        <f>'Hourly Budget'!O33</f>
        <v>0</v>
      </c>
      <c r="C54" s="112">
        <f>'Hourly Budget'!R33</f>
        <v>0</v>
      </c>
      <c r="D54" s="112">
        <f>'Hourly Budget'!S33</f>
        <v>0</v>
      </c>
      <c r="E54" s="112">
        <f>'Hourly Budget'!T33</f>
        <v>0</v>
      </c>
      <c r="F54" s="123">
        <f>'Hourly Budget'!W33</f>
        <v>0</v>
      </c>
      <c r="G54" s="159">
        <f>E54*((1+Rates!C$13))</f>
        <v>0</v>
      </c>
      <c r="H54" s="159">
        <f t="shared" si="1"/>
        <v>0</v>
      </c>
    </row>
    <row r="55" spans="1:8" x14ac:dyDescent="0.6">
      <c r="A55" s="117" t="str">
        <f>'Hourly Budget'!A34</f>
        <v>Name</v>
      </c>
      <c r="B55" s="111">
        <f>'Hourly Budget'!O34</f>
        <v>0</v>
      </c>
      <c r="C55" s="112">
        <f>'Hourly Budget'!R34</f>
        <v>0</v>
      </c>
      <c r="D55" s="112">
        <f>'Hourly Budget'!S34</f>
        <v>0</v>
      </c>
      <c r="E55" s="112">
        <f>'Hourly Budget'!T34</f>
        <v>0</v>
      </c>
      <c r="F55" s="123">
        <f>'Hourly Budget'!W34</f>
        <v>0</v>
      </c>
      <c r="G55" s="159">
        <f>E55*((1+Rates!C$13))</f>
        <v>0</v>
      </c>
      <c r="H55" s="159">
        <f t="shared" si="1"/>
        <v>0</v>
      </c>
    </row>
    <row r="56" spans="1:8" x14ac:dyDescent="0.6">
      <c r="A56" s="117" t="str">
        <f>'Hourly Budget'!A35</f>
        <v>Name</v>
      </c>
      <c r="B56" s="111">
        <f>'Hourly Budget'!O35</f>
        <v>0</v>
      </c>
      <c r="C56" s="112">
        <f>'Hourly Budget'!R35</f>
        <v>0</v>
      </c>
      <c r="D56" s="112">
        <f>'Hourly Budget'!S35</f>
        <v>0</v>
      </c>
      <c r="E56" s="112">
        <f>'Hourly Budget'!T35</f>
        <v>0</v>
      </c>
      <c r="F56" s="123">
        <f>'Hourly Budget'!W35</f>
        <v>0</v>
      </c>
      <c r="G56" s="159">
        <f>E56*((1+Rates!C$13))</f>
        <v>0</v>
      </c>
      <c r="H56" s="159">
        <f t="shared" si="1"/>
        <v>0</v>
      </c>
    </row>
    <row r="57" spans="1:8" x14ac:dyDescent="0.6">
      <c r="A57" s="118" t="str">
        <f>'Hourly Budget'!A41</f>
        <v>Name (CY)</v>
      </c>
      <c r="B57" s="109">
        <f>'Hourly Budget'!O41</f>
        <v>0</v>
      </c>
      <c r="C57" s="110">
        <f>'Hourly Budget'!R41</f>
        <v>0</v>
      </c>
      <c r="D57" s="110">
        <f>'Hourly Budget'!S41</f>
        <v>0</v>
      </c>
      <c r="E57" s="110">
        <f>'Hourly Budget'!T41</f>
        <v>0</v>
      </c>
      <c r="F57" s="124">
        <f>'Hourly Budget'!W41</f>
        <v>0</v>
      </c>
      <c r="G57" s="160">
        <f>E57*((1+Rates!C$13))</f>
        <v>0</v>
      </c>
      <c r="H57" s="160">
        <f t="shared" si="1"/>
        <v>0</v>
      </c>
    </row>
    <row r="58" spans="1:8" x14ac:dyDescent="0.6">
      <c r="A58" s="118" t="str">
        <f>'Hourly Budget'!A42</f>
        <v>Name (CY)</v>
      </c>
      <c r="B58" s="109">
        <f>'Hourly Budget'!O42</f>
        <v>0</v>
      </c>
      <c r="C58" s="110">
        <f>'Hourly Budget'!R42</f>
        <v>0</v>
      </c>
      <c r="D58" s="110">
        <f>'Hourly Budget'!S42</f>
        <v>0</v>
      </c>
      <c r="E58" s="110">
        <f>'Hourly Budget'!T42</f>
        <v>0</v>
      </c>
      <c r="F58" s="124">
        <f>'Hourly Budget'!W42</f>
        <v>0</v>
      </c>
      <c r="G58" s="160">
        <f>E58*((1+Rates!C$13))</f>
        <v>0</v>
      </c>
      <c r="H58" s="160">
        <f t="shared" si="1"/>
        <v>0</v>
      </c>
    </row>
    <row r="59" spans="1:8" x14ac:dyDescent="0.6">
      <c r="A59" s="118" t="str">
        <f>'Hourly Budget'!A43</f>
        <v>Name (CY)</v>
      </c>
      <c r="B59" s="109">
        <f>'Hourly Budget'!O43</f>
        <v>0</v>
      </c>
      <c r="C59" s="110">
        <f>'Hourly Budget'!R43</f>
        <v>0</v>
      </c>
      <c r="D59" s="110">
        <f>'Hourly Budget'!S43</f>
        <v>0</v>
      </c>
      <c r="E59" s="110">
        <f>'Hourly Budget'!T43</f>
        <v>0</v>
      </c>
      <c r="F59" s="124">
        <f>'Hourly Budget'!W43</f>
        <v>0</v>
      </c>
      <c r="G59" s="160">
        <f>E59*((1+Rates!C$13))</f>
        <v>0</v>
      </c>
      <c r="H59" s="160">
        <f t="shared" si="1"/>
        <v>0</v>
      </c>
    </row>
    <row r="60" spans="1:8" x14ac:dyDescent="0.6">
      <c r="A60" s="118" t="str">
        <f>'Hourly Budget'!A44</f>
        <v>Name (AY)</v>
      </c>
      <c r="B60" s="109">
        <f>'Hourly Budget'!O44</f>
        <v>0</v>
      </c>
      <c r="C60" s="110">
        <f>'Hourly Budget'!R44</f>
        <v>0</v>
      </c>
      <c r="D60" s="110">
        <f>'Hourly Budget'!S44</f>
        <v>0</v>
      </c>
      <c r="E60" s="110">
        <f>'Hourly Budget'!T44</f>
        <v>0</v>
      </c>
      <c r="F60" s="124">
        <f>'Hourly Budget'!W44</f>
        <v>0</v>
      </c>
      <c r="G60" s="160">
        <f>E60*((1+Rates!C$13))</f>
        <v>0</v>
      </c>
      <c r="H60" s="160">
        <f t="shared" si="1"/>
        <v>0</v>
      </c>
    </row>
    <row r="61" spans="1:8" x14ac:dyDescent="0.6">
      <c r="A61" s="118" t="str">
        <f>'Hourly Budget'!A45</f>
        <v>Name (AY)</v>
      </c>
      <c r="B61" s="109">
        <f>'Hourly Budget'!O45</f>
        <v>0</v>
      </c>
      <c r="C61" s="110">
        <f>'Hourly Budget'!R45</f>
        <v>0</v>
      </c>
      <c r="D61" s="110">
        <f>'Hourly Budget'!S45</f>
        <v>0</v>
      </c>
      <c r="E61" s="110">
        <f>'Hourly Budget'!T45</f>
        <v>0</v>
      </c>
      <c r="F61" s="124">
        <f>'Hourly Budget'!W45</f>
        <v>0</v>
      </c>
      <c r="G61" s="160">
        <f>E61*((1+Rates!C$13))</f>
        <v>0</v>
      </c>
      <c r="H61" s="160">
        <f t="shared" si="1"/>
        <v>0</v>
      </c>
    </row>
    <row r="62" spans="1:8" x14ac:dyDescent="0.6">
      <c r="A62" s="118" t="str">
        <f>'Hourly Budget'!A46</f>
        <v>Name (AY)</v>
      </c>
      <c r="B62" s="109">
        <f>'Hourly Budget'!O46</f>
        <v>0</v>
      </c>
      <c r="C62" s="110">
        <f>'Hourly Budget'!R46</f>
        <v>0</v>
      </c>
      <c r="D62" s="110">
        <f>'Hourly Budget'!S46</f>
        <v>0</v>
      </c>
      <c r="E62" s="110">
        <f>'Hourly Budget'!T46</f>
        <v>0</v>
      </c>
      <c r="F62" s="124">
        <f>'Hourly Budget'!W46</f>
        <v>0</v>
      </c>
      <c r="G62" s="160">
        <f>E62*((1+Rates!C$13))</f>
        <v>0</v>
      </c>
      <c r="H62" s="160">
        <f t="shared" si="1"/>
        <v>0</v>
      </c>
    </row>
    <row r="63" spans="1:8" x14ac:dyDescent="0.6">
      <c r="A63" s="118" t="str">
        <f>'Hourly Budget'!A47</f>
        <v>Name (Summer)</v>
      </c>
      <c r="B63" s="109">
        <f>'Hourly Budget'!O47</f>
        <v>0</v>
      </c>
      <c r="C63" s="110">
        <f>'Hourly Budget'!R47</f>
        <v>0</v>
      </c>
      <c r="D63" s="110">
        <f>'Hourly Budget'!S47</f>
        <v>0</v>
      </c>
      <c r="E63" s="110">
        <f>'Hourly Budget'!T47</f>
        <v>0</v>
      </c>
      <c r="F63" s="124">
        <f>'Hourly Budget'!W47</f>
        <v>0</v>
      </c>
      <c r="G63" s="160">
        <f>E63*((1+Rates!C$13))</f>
        <v>0</v>
      </c>
      <c r="H63" s="160">
        <f t="shared" si="1"/>
        <v>0</v>
      </c>
    </row>
    <row r="64" spans="1:8" x14ac:dyDescent="0.6">
      <c r="A64" s="118" t="str">
        <f>'Hourly Budget'!A48</f>
        <v>Name (Summer)</v>
      </c>
      <c r="B64" s="109">
        <f>'Hourly Budget'!O48</f>
        <v>0</v>
      </c>
      <c r="C64" s="110">
        <f>'Hourly Budget'!R48</f>
        <v>0</v>
      </c>
      <c r="D64" s="110">
        <f>'Hourly Budget'!S48</f>
        <v>0</v>
      </c>
      <c r="E64" s="110">
        <f>'Hourly Budget'!T48</f>
        <v>0</v>
      </c>
      <c r="F64" s="124">
        <f>'Hourly Budget'!W48</f>
        <v>0</v>
      </c>
      <c r="G64" s="160">
        <f>E64*((1+Rates!C$13))</f>
        <v>0</v>
      </c>
      <c r="H64" s="160">
        <f t="shared" si="1"/>
        <v>0</v>
      </c>
    </row>
    <row r="65" spans="1:8" x14ac:dyDescent="0.6">
      <c r="A65" s="118" t="str">
        <f>'Hourly Budget'!A49</f>
        <v>Name (Summer)</v>
      </c>
      <c r="B65" s="109">
        <f>'Hourly Budget'!O49</f>
        <v>0</v>
      </c>
      <c r="C65" s="110">
        <f>'Hourly Budget'!R49</f>
        <v>0</v>
      </c>
      <c r="D65" s="110">
        <f>'Hourly Budget'!S49</f>
        <v>0</v>
      </c>
      <c r="E65" s="110">
        <f>'Hourly Budget'!T49</f>
        <v>0</v>
      </c>
      <c r="F65" s="124">
        <f>'Hourly Budget'!W49</f>
        <v>0</v>
      </c>
      <c r="G65" s="160">
        <f>E65*((1+Rates!C$13))</f>
        <v>0</v>
      </c>
      <c r="H65" s="160">
        <f t="shared" si="1"/>
        <v>0</v>
      </c>
    </row>
    <row r="66" spans="1:8" x14ac:dyDescent="0.6">
      <c r="A66" s="69" t="str">
        <f>'Hourly Budget'!A55</f>
        <v>TBN Undergraduate *Hourly</v>
      </c>
      <c r="B66" s="71">
        <f>'Hourly Budget'!O55</f>
        <v>0</v>
      </c>
      <c r="C66" s="101">
        <f>'Hourly Budget'!R55</f>
        <v>0</v>
      </c>
      <c r="D66" s="101">
        <f>'Hourly Budget'!S55</f>
        <v>0</v>
      </c>
      <c r="E66" s="101">
        <f>'Hourly Budget'!T55</f>
        <v>0</v>
      </c>
      <c r="F66" s="125">
        <f>'Hourly Budget'!W55</f>
        <v>0</v>
      </c>
      <c r="G66" s="161">
        <f>E66*((1+Rates!C$13))</f>
        <v>0</v>
      </c>
      <c r="H66" s="161">
        <f t="shared" si="1"/>
        <v>0</v>
      </c>
    </row>
    <row r="67" spans="1:8" x14ac:dyDescent="0.6">
      <c r="A67" s="69" t="str">
        <f>'Hourly Budget'!A56</f>
        <v>Name</v>
      </c>
      <c r="B67" s="71">
        <f>'Hourly Budget'!O56</f>
        <v>0</v>
      </c>
      <c r="C67" s="101">
        <f>'Hourly Budget'!R56</f>
        <v>0</v>
      </c>
      <c r="D67" s="101">
        <f>'Hourly Budget'!S56</f>
        <v>0</v>
      </c>
      <c r="E67" s="101">
        <f>'Hourly Budget'!T56</f>
        <v>0</v>
      </c>
      <c r="F67" s="125">
        <f>'Hourly Budget'!W56</f>
        <v>0</v>
      </c>
      <c r="G67" s="161">
        <f>E67*((1+Rates!C$13))</f>
        <v>0</v>
      </c>
      <c r="H67" s="161">
        <f t="shared" si="1"/>
        <v>0</v>
      </c>
    </row>
    <row r="68" spans="1:8" x14ac:dyDescent="0.6">
      <c r="A68" s="69" t="str">
        <f>'Hourly Budget'!A57</f>
        <v>Name</v>
      </c>
      <c r="B68" s="71">
        <f>'Hourly Budget'!O57</f>
        <v>0</v>
      </c>
      <c r="C68" s="101">
        <f>'Hourly Budget'!R57</f>
        <v>0</v>
      </c>
      <c r="D68" s="101">
        <f>'Hourly Budget'!S57</f>
        <v>0</v>
      </c>
      <c r="E68" s="101">
        <f>'Hourly Budget'!T57</f>
        <v>0</v>
      </c>
      <c r="F68" s="125">
        <f>'Hourly Budget'!W57</f>
        <v>0</v>
      </c>
      <c r="G68" s="161">
        <f>E68*((1+Rates!C$13))</f>
        <v>0</v>
      </c>
      <c r="H68" s="161">
        <f t="shared" si="1"/>
        <v>0</v>
      </c>
    </row>
    <row r="69" spans="1:8" x14ac:dyDescent="0.6">
      <c r="A69" s="175" t="str">
        <f>'Hourly Budget'!A63</f>
        <v>Name</v>
      </c>
      <c r="B69" s="176">
        <f>'Hourly Budget'!O63</f>
        <v>0</v>
      </c>
      <c r="C69" s="177">
        <f>'Hourly Budget'!R63</f>
        <v>0</v>
      </c>
      <c r="D69" s="177">
        <f>'Hourly Budget'!S63</f>
        <v>0</v>
      </c>
      <c r="E69" s="177">
        <f>'Hourly Budget'!T63</f>
        <v>0</v>
      </c>
      <c r="F69" s="178">
        <f>'Hourly Budget'!W63</f>
        <v>0</v>
      </c>
      <c r="G69" s="179">
        <f>E69*((1+Rates!C$13))</f>
        <v>0</v>
      </c>
      <c r="H69" s="179">
        <f>G69*B69</f>
        <v>0</v>
      </c>
    </row>
    <row r="70" spans="1:8" x14ac:dyDescent="0.6">
      <c r="A70" s="175" t="str">
        <f>'Hourly Budget'!A64</f>
        <v>Name</v>
      </c>
      <c r="B70" s="176">
        <f>'Hourly Budget'!O64</f>
        <v>0</v>
      </c>
      <c r="C70" s="177">
        <f>'Hourly Budget'!R64</f>
        <v>0</v>
      </c>
      <c r="D70" s="177">
        <f>'Hourly Budget'!S64</f>
        <v>0</v>
      </c>
      <c r="E70" s="177">
        <f>'Hourly Budget'!T64</f>
        <v>0</v>
      </c>
      <c r="F70" s="178">
        <f>'Hourly Budget'!W64</f>
        <v>0</v>
      </c>
      <c r="G70" s="179">
        <f>E70*((1+Rates!C$13))</f>
        <v>0</v>
      </c>
      <c r="H70" s="179">
        <f>G70*B70</f>
        <v>0</v>
      </c>
    </row>
    <row r="71" spans="1:8" x14ac:dyDescent="0.6">
      <c r="A71" s="175" t="str">
        <f>'Hourly Budget'!A65</f>
        <v>Name</v>
      </c>
      <c r="B71" s="176">
        <f>'Hourly Budget'!O65</f>
        <v>0</v>
      </c>
      <c r="C71" s="177">
        <f>'Hourly Budget'!R65</f>
        <v>0</v>
      </c>
      <c r="D71" s="177">
        <f>'Hourly Budget'!S65</f>
        <v>0</v>
      </c>
      <c r="E71" s="177">
        <f>'Hourly Budget'!T65</f>
        <v>0</v>
      </c>
      <c r="F71" s="178">
        <f>'Hourly Budget'!W65</f>
        <v>0</v>
      </c>
      <c r="G71" s="179">
        <f>E71*((1+Rates!C$13))</f>
        <v>0</v>
      </c>
      <c r="H71" s="179">
        <f>G71*B71</f>
        <v>0</v>
      </c>
    </row>
    <row r="72" spans="1:8" x14ac:dyDescent="0.6">
      <c r="B72" s="12"/>
      <c r="C72" s="93"/>
      <c r="D72" s="93"/>
      <c r="E72" s="100" t="s">
        <v>2</v>
      </c>
      <c r="F72" s="100">
        <f>SUM(F39:F71)</f>
        <v>0</v>
      </c>
      <c r="H72" s="162">
        <f>SUM(H39:H71)</f>
        <v>0</v>
      </c>
    </row>
    <row r="73" spans="1:8" x14ac:dyDescent="0.6">
      <c r="B73" s="12"/>
      <c r="E73" s="93"/>
      <c r="F73" s="93"/>
    </row>
    <row r="74" spans="1:8" ht="15.5" x14ac:dyDescent="0.7">
      <c r="A74" s="2" t="s">
        <v>12</v>
      </c>
      <c r="B74" s="12"/>
      <c r="E74" s="93"/>
      <c r="F74" s="93"/>
    </row>
    <row r="75" spans="1:8" x14ac:dyDescent="0.6">
      <c r="A75" s="115" t="str">
        <f>'Hourly Budget'!A8</f>
        <v>Martinez Machain, Carla (AY)</v>
      </c>
      <c r="B75" s="107">
        <f>'Hourly Budget'!Z8</f>
        <v>0</v>
      </c>
      <c r="C75" s="108">
        <f>'Hourly Budget'!AC8</f>
        <v>109.32274215384615</v>
      </c>
      <c r="D75" s="108">
        <f>'Hourly Budget'!AD8</f>
        <v>73.071320855630759</v>
      </c>
      <c r="E75" s="108">
        <f>'Hourly Budget'!AE8</f>
        <v>182.39406300947689</v>
      </c>
      <c r="F75" s="121">
        <f>'Hourly Budget'!AH8</f>
        <v>0</v>
      </c>
      <c r="G75" s="157">
        <f>E75*((1+Rates!D$13))</f>
        <v>293.65444144525776</v>
      </c>
      <c r="H75" s="157">
        <f>G75*B75</f>
        <v>0</v>
      </c>
    </row>
    <row r="76" spans="1:8" x14ac:dyDescent="0.6">
      <c r="A76" s="115" t="str">
        <f>'Hourly Budget'!A9</f>
        <v>Name (AY)</v>
      </c>
      <c r="B76" s="107">
        <f>'Hourly Budget'!Z9</f>
        <v>0</v>
      </c>
      <c r="C76" s="108">
        <f>'Hourly Budget'!AC9</f>
        <v>0</v>
      </c>
      <c r="D76" s="108">
        <f>'Hourly Budget'!AD9</f>
        <v>0</v>
      </c>
      <c r="E76" s="108">
        <f>'Hourly Budget'!AE9</f>
        <v>0</v>
      </c>
      <c r="F76" s="121">
        <f>'Hourly Budget'!AH9</f>
        <v>0</v>
      </c>
      <c r="G76" s="157">
        <f>E76*((1+Rates!D$13))</f>
        <v>0</v>
      </c>
      <c r="H76" s="157">
        <f>G76*B76</f>
        <v>0</v>
      </c>
    </row>
    <row r="77" spans="1:8" x14ac:dyDescent="0.6">
      <c r="A77" s="115" t="str">
        <f>'Hourly Budget'!A10</f>
        <v>Name (AY)</v>
      </c>
      <c r="B77" s="107">
        <f>'Hourly Budget'!Z10</f>
        <v>0</v>
      </c>
      <c r="C77" s="108">
        <f>'Hourly Budget'!AC10</f>
        <v>0</v>
      </c>
      <c r="D77" s="108">
        <f>'Hourly Budget'!AD10</f>
        <v>0</v>
      </c>
      <c r="E77" s="108">
        <f>'Hourly Budget'!AE10</f>
        <v>0</v>
      </c>
      <c r="F77" s="121">
        <f>'Hourly Budget'!AH10</f>
        <v>0</v>
      </c>
      <c r="G77" s="157">
        <f>E77*((1+Rates!D$13))</f>
        <v>0</v>
      </c>
      <c r="H77" s="157">
        <f>G77*B77</f>
        <v>0</v>
      </c>
    </row>
    <row r="78" spans="1:8" x14ac:dyDescent="0.6">
      <c r="A78" s="115" t="str">
        <f>'Hourly Budget'!A11</f>
        <v>Name (AY)</v>
      </c>
      <c r="B78" s="107">
        <f>'Hourly Budget'!Z11</f>
        <v>0</v>
      </c>
      <c r="C78" s="108">
        <f>'Hourly Budget'!AC11</f>
        <v>0</v>
      </c>
      <c r="D78" s="108">
        <f>'Hourly Budget'!AD11</f>
        <v>0</v>
      </c>
      <c r="E78" s="108">
        <f>'Hourly Budget'!AE11</f>
        <v>0</v>
      </c>
      <c r="F78" s="121">
        <f>'Hourly Budget'!AH11</f>
        <v>0</v>
      </c>
      <c r="G78" s="157">
        <f>E78*((1+Rates!D$13))</f>
        <v>0</v>
      </c>
      <c r="H78" s="157">
        <f t="shared" ref="H78:H104" si="2">G78*B78</f>
        <v>0</v>
      </c>
    </row>
    <row r="79" spans="1:8" x14ac:dyDescent="0.6">
      <c r="A79" s="115" t="str">
        <f>'Hourly Budget'!A12</f>
        <v>Name (AY)</v>
      </c>
      <c r="B79" s="107">
        <f>'Hourly Budget'!Z12</f>
        <v>0</v>
      </c>
      <c r="C79" s="108">
        <f>'Hourly Budget'!AC12</f>
        <v>0</v>
      </c>
      <c r="D79" s="108">
        <f>'Hourly Budget'!AD12</f>
        <v>0</v>
      </c>
      <c r="E79" s="108">
        <f>'Hourly Budget'!AE12</f>
        <v>0</v>
      </c>
      <c r="F79" s="121">
        <f>'Hourly Budget'!AH12</f>
        <v>0</v>
      </c>
      <c r="G79" s="157">
        <f>E79*((1+Rates!D$13))</f>
        <v>0</v>
      </c>
      <c r="H79" s="157">
        <f t="shared" si="2"/>
        <v>0</v>
      </c>
    </row>
    <row r="80" spans="1:8" x14ac:dyDescent="0.6">
      <c r="A80" s="115" t="str">
        <f>'Hourly Budget'!A13</f>
        <v>Name (CY)</v>
      </c>
      <c r="B80" s="107">
        <f>'Hourly Budget'!Z13</f>
        <v>0</v>
      </c>
      <c r="C80" s="108">
        <f>'Hourly Budget'!AC13</f>
        <v>0</v>
      </c>
      <c r="D80" s="108">
        <f>'Hourly Budget'!AD13</f>
        <v>0</v>
      </c>
      <c r="E80" s="108">
        <f>'Hourly Budget'!AE13</f>
        <v>0</v>
      </c>
      <c r="F80" s="121">
        <f>'Hourly Budget'!AH13</f>
        <v>0</v>
      </c>
      <c r="G80" s="157">
        <f>E80*((1+Rates!D$13))</f>
        <v>0</v>
      </c>
      <c r="H80" s="157">
        <f t="shared" si="2"/>
        <v>0</v>
      </c>
    </row>
    <row r="81" spans="1:8" x14ac:dyDescent="0.6">
      <c r="A81" s="115" t="str">
        <f>'Hourly Budget'!A14</f>
        <v>Name (CY)</v>
      </c>
      <c r="B81" s="107">
        <f>'Hourly Budget'!Z14</f>
        <v>0</v>
      </c>
      <c r="C81" s="108">
        <f>'Hourly Budget'!AC14</f>
        <v>0</v>
      </c>
      <c r="D81" s="108">
        <f>'Hourly Budget'!AD14</f>
        <v>0</v>
      </c>
      <c r="E81" s="108">
        <f>'Hourly Budget'!AE14</f>
        <v>0</v>
      </c>
      <c r="F81" s="121">
        <f>'Hourly Budget'!AH14</f>
        <v>0</v>
      </c>
      <c r="G81" s="157">
        <f>E81*((1+Rates!D$13))</f>
        <v>0</v>
      </c>
      <c r="H81" s="157">
        <f t="shared" si="2"/>
        <v>0</v>
      </c>
    </row>
    <row r="82" spans="1:8" x14ac:dyDescent="0.6">
      <c r="A82" s="115" t="str">
        <f>'Hourly Budget'!A15</f>
        <v>Name (CY)</v>
      </c>
      <c r="B82" s="107">
        <f>'Hourly Budget'!Z15</f>
        <v>0</v>
      </c>
      <c r="C82" s="108">
        <f>'Hourly Budget'!AC15</f>
        <v>0</v>
      </c>
      <c r="D82" s="108">
        <f>'Hourly Budget'!AD15</f>
        <v>0</v>
      </c>
      <c r="E82" s="108">
        <f>'Hourly Budget'!AE15</f>
        <v>0</v>
      </c>
      <c r="F82" s="121">
        <f>'Hourly Budget'!AH15</f>
        <v>0</v>
      </c>
      <c r="G82" s="157">
        <f>E82*((1+Rates!D$13))</f>
        <v>0</v>
      </c>
      <c r="H82" s="157">
        <f t="shared" si="2"/>
        <v>0</v>
      </c>
    </row>
    <row r="83" spans="1:8" x14ac:dyDescent="0.6">
      <c r="A83" s="115" t="str">
        <f>'Hourly Budget'!A16</f>
        <v>Name (CY)</v>
      </c>
      <c r="B83" s="107">
        <f>'Hourly Budget'!Z16</f>
        <v>0</v>
      </c>
      <c r="C83" s="108">
        <f>'Hourly Budget'!AC16</f>
        <v>0</v>
      </c>
      <c r="D83" s="108">
        <f>'Hourly Budget'!AD16</f>
        <v>0</v>
      </c>
      <c r="E83" s="108">
        <f>'Hourly Budget'!AE16</f>
        <v>0</v>
      </c>
      <c r="F83" s="121">
        <f>'Hourly Budget'!AH16</f>
        <v>0</v>
      </c>
      <c r="G83" s="157">
        <f>E83*((1+Rates!D$13))</f>
        <v>0</v>
      </c>
      <c r="H83" s="157">
        <f t="shared" si="2"/>
        <v>0</v>
      </c>
    </row>
    <row r="84" spans="1:8" x14ac:dyDescent="0.6">
      <c r="A84" s="115" t="str">
        <f>'Hourly Budget'!A17</f>
        <v>Name (CY)</v>
      </c>
      <c r="B84" s="107">
        <f>'Hourly Budget'!Z17</f>
        <v>0</v>
      </c>
      <c r="C84" s="108">
        <f>'Hourly Budget'!AC17</f>
        <v>0</v>
      </c>
      <c r="D84" s="108">
        <f>'Hourly Budget'!AD17</f>
        <v>0</v>
      </c>
      <c r="E84" s="108">
        <f>'Hourly Budget'!AE17</f>
        <v>0</v>
      </c>
      <c r="F84" s="121">
        <f>'Hourly Budget'!AH17</f>
        <v>0</v>
      </c>
      <c r="G84" s="157">
        <f>E84*((1+Rates!D$13))</f>
        <v>0</v>
      </c>
      <c r="H84" s="157">
        <f t="shared" si="2"/>
        <v>0</v>
      </c>
    </row>
    <row r="85" spans="1:8" x14ac:dyDescent="0.6">
      <c r="A85" s="116" t="str">
        <f>'Hourly Budget'!A23</f>
        <v>Martinez Machain, Carla</v>
      </c>
      <c r="B85" s="113">
        <f>'Hourly Budget'!Z23</f>
        <v>0</v>
      </c>
      <c r="C85" s="114">
        <f>'Hourly Budget'!AC23</f>
        <v>106.13858461538462</v>
      </c>
      <c r="D85" s="114">
        <f>'Hourly Budget'!AD23</f>
        <v>15.390094769230767</v>
      </c>
      <c r="E85" s="114">
        <f>'Hourly Budget'!AE23</f>
        <v>121.52867938461539</v>
      </c>
      <c r="F85" s="122">
        <f>'Hourly Budget'!AH23</f>
        <v>0</v>
      </c>
      <c r="G85" s="158">
        <f>E85*((1+Rates!D$13))</f>
        <v>195.66117380923075</v>
      </c>
      <c r="H85" s="158">
        <f t="shared" si="2"/>
        <v>0</v>
      </c>
    </row>
    <row r="86" spans="1:8" x14ac:dyDescent="0.6">
      <c r="A86" s="116" t="str">
        <f>'Hourly Budget'!A24</f>
        <v>Name</v>
      </c>
      <c r="B86" s="113">
        <f>'Hourly Budget'!Z24</f>
        <v>0</v>
      </c>
      <c r="C86" s="114">
        <f>'Hourly Budget'!AC24</f>
        <v>0</v>
      </c>
      <c r="D86" s="114">
        <f>'Hourly Budget'!AD24</f>
        <v>0</v>
      </c>
      <c r="E86" s="114">
        <f>'Hourly Budget'!AE24</f>
        <v>0</v>
      </c>
      <c r="F86" s="122">
        <f>'Hourly Budget'!AH24</f>
        <v>0</v>
      </c>
      <c r="G86" s="158">
        <f>E86*((1+Rates!D$13))</f>
        <v>0</v>
      </c>
      <c r="H86" s="158">
        <f t="shared" si="2"/>
        <v>0</v>
      </c>
    </row>
    <row r="87" spans="1:8" x14ac:dyDescent="0.6">
      <c r="A87" s="116" t="str">
        <f>'Hourly Budget'!A25</f>
        <v>Name</v>
      </c>
      <c r="B87" s="113">
        <f>'Hourly Budget'!Z25</f>
        <v>0</v>
      </c>
      <c r="C87" s="114">
        <f>'Hourly Budget'!AC25</f>
        <v>0</v>
      </c>
      <c r="D87" s="114">
        <f>'Hourly Budget'!AD25</f>
        <v>0</v>
      </c>
      <c r="E87" s="114">
        <f>'Hourly Budget'!AE25</f>
        <v>0</v>
      </c>
      <c r="F87" s="122">
        <f>'Hourly Budget'!AH25</f>
        <v>0</v>
      </c>
      <c r="G87" s="158">
        <f>E87*((1+Rates!D$13))</f>
        <v>0</v>
      </c>
      <c r="H87" s="158">
        <f t="shared" si="2"/>
        <v>0</v>
      </c>
    </row>
    <row r="88" spans="1:8" x14ac:dyDescent="0.6">
      <c r="A88" s="116" t="str">
        <f>'Hourly Budget'!A26</f>
        <v>Name</v>
      </c>
      <c r="B88" s="113">
        <f>'Hourly Budget'!Z26</f>
        <v>0</v>
      </c>
      <c r="C88" s="114">
        <f>'Hourly Budget'!AC26</f>
        <v>0</v>
      </c>
      <c r="D88" s="114">
        <f>'Hourly Budget'!AD26</f>
        <v>0</v>
      </c>
      <c r="E88" s="114">
        <f>'Hourly Budget'!AE26</f>
        <v>0</v>
      </c>
      <c r="F88" s="122">
        <f>'Hourly Budget'!AH26</f>
        <v>0</v>
      </c>
      <c r="G88" s="158">
        <f>E88*((1+Rates!D$13))</f>
        <v>0</v>
      </c>
      <c r="H88" s="158">
        <f t="shared" si="2"/>
        <v>0</v>
      </c>
    </row>
    <row r="89" spans="1:8" x14ac:dyDescent="0.6">
      <c r="A89" s="116" t="str">
        <f>'Hourly Budget'!A27</f>
        <v>Name</v>
      </c>
      <c r="B89" s="113">
        <f>'Hourly Budget'!Z27</f>
        <v>0</v>
      </c>
      <c r="C89" s="114">
        <f>'Hourly Budget'!AC27</f>
        <v>0</v>
      </c>
      <c r="D89" s="114">
        <f>'Hourly Budget'!AD27</f>
        <v>0</v>
      </c>
      <c r="E89" s="114">
        <f>'Hourly Budget'!AE27</f>
        <v>0</v>
      </c>
      <c r="F89" s="122">
        <f>'Hourly Budget'!AH27</f>
        <v>0</v>
      </c>
      <c r="G89" s="158">
        <f>E89*((1+Rates!D$13))</f>
        <v>0</v>
      </c>
      <c r="H89" s="158">
        <f t="shared" si="2"/>
        <v>0</v>
      </c>
    </row>
    <row r="90" spans="1:8" x14ac:dyDescent="0.6">
      <c r="A90" s="117" t="str">
        <f>'Hourly Budget'!A33</f>
        <v>Name</v>
      </c>
      <c r="B90" s="111">
        <f>'Hourly Budget'!Z33</f>
        <v>0</v>
      </c>
      <c r="C90" s="112">
        <f>'Hourly Budget'!AC33</f>
        <v>0</v>
      </c>
      <c r="D90" s="112">
        <f>'Hourly Budget'!AD33</f>
        <v>0</v>
      </c>
      <c r="E90" s="112">
        <f>'Hourly Budget'!AE33</f>
        <v>0</v>
      </c>
      <c r="F90" s="123">
        <f>'Hourly Budget'!AH33</f>
        <v>0</v>
      </c>
      <c r="G90" s="159">
        <f>E90*((1+Rates!D$13))</f>
        <v>0</v>
      </c>
      <c r="H90" s="159">
        <f t="shared" si="2"/>
        <v>0</v>
      </c>
    </row>
    <row r="91" spans="1:8" x14ac:dyDescent="0.6">
      <c r="A91" s="117" t="str">
        <f>'Hourly Budget'!A34</f>
        <v>Name</v>
      </c>
      <c r="B91" s="111">
        <f>'Hourly Budget'!Z34</f>
        <v>0</v>
      </c>
      <c r="C91" s="112">
        <f>'Hourly Budget'!AC34</f>
        <v>0</v>
      </c>
      <c r="D91" s="112">
        <f>'Hourly Budget'!AD34</f>
        <v>0</v>
      </c>
      <c r="E91" s="112">
        <f>'Hourly Budget'!AE34</f>
        <v>0</v>
      </c>
      <c r="F91" s="123">
        <f>'Hourly Budget'!AH34</f>
        <v>0</v>
      </c>
      <c r="G91" s="159">
        <f>E91*((1+Rates!D$13))</f>
        <v>0</v>
      </c>
      <c r="H91" s="159">
        <f t="shared" si="2"/>
        <v>0</v>
      </c>
    </row>
    <row r="92" spans="1:8" x14ac:dyDescent="0.6">
      <c r="A92" s="117" t="str">
        <f>'Hourly Budget'!A35</f>
        <v>Name</v>
      </c>
      <c r="B92" s="111">
        <f>'Hourly Budget'!Z35</f>
        <v>0</v>
      </c>
      <c r="C92" s="112">
        <f>'Hourly Budget'!AC35</f>
        <v>0</v>
      </c>
      <c r="D92" s="112">
        <f>'Hourly Budget'!AD35</f>
        <v>0</v>
      </c>
      <c r="E92" s="112">
        <f>'Hourly Budget'!AE35</f>
        <v>0</v>
      </c>
      <c r="F92" s="123">
        <f>'Hourly Budget'!AH35</f>
        <v>0</v>
      </c>
      <c r="G92" s="159">
        <f>E92*((1+Rates!D$13))</f>
        <v>0</v>
      </c>
      <c r="H92" s="159">
        <f t="shared" si="2"/>
        <v>0</v>
      </c>
    </row>
    <row r="93" spans="1:8" x14ac:dyDescent="0.6">
      <c r="A93" s="118" t="str">
        <f>'Hourly Budget'!A41</f>
        <v>Name (CY)</v>
      </c>
      <c r="B93" s="109">
        <f>'Hourly Budget'!Z41</f>
        <v>0</v>
      </c>
      <c r="C93" s="110">
        <f>'Hourly Budget'!AC41</f>
        <v>0</v>
      </c>
      <c r="D93" s="110">
        <f>'Hourly Budget'!AD41</f>
        <v>0</v>
      </c>
      <c r="E93" s="110">
        <f>'Hourly Budget'!AE41</f>
        <v>0</v>
      </c>
      <c r="F93" s="124">
        <f>'Hourly Budget'!AH41</f>
        <v>0</v>
      </c>
      <c r="G93" s="160">
        <f>E93*((1+Rates!D$13))</f>
        <v>0</v>
      </c>
      <c r="H93" s="160">
        <f t="shared" si="2"/>
        <v>0</v>
      </c>
    </row>
    <row r="94" spans="1:8" x14ac:dyDescent="0.6">
      <c r="A94" s="118" t="str">
        <f>'Hourly Budget'!A42</f>
        <v>Name (CY)</v>
      </c>
      <c r="B94" s="109">
        <f>'Hourly Budget'!Z42</f>
        <v>0</v>
      </c>
      <c r="C94" s="110">
        <f>'Hourly Budget'!AC42</f>
        <v>0</v>
      </c>
      <c r="D94" s="110">
        <f>'Hourly Budget'!AD42</f>
        <v>0</v>
      </c>
      <c r="E94" s="110">
        <f>'Hourly Budget'!AE42</f>
        <v>0</v>
      </c>
      <c r="F94" s="124">
        <f>'Hourly Budget'!AH42</f>
        <v>0</v>
      </c>
      <c r="G94" s="160">
        <f>E94*((1+Rates!D$13))</f>
        <v>0</v>
      </c>
      <c r="H94" s="160">
        <f t="shared" si="2"/>
        <v>0</v>
      </c>
    </row>
    <row r="95" spans="1:8" x14ac:dyDescent="0.6">
      <c r="A95" s="118" t="str">
        <f>'Hourly Budget'!A43</f>
        <v>Name (CY)</v>
      </c>
      <c r="B95" s="109">
        <f>'Hourly Budget'!Z43</f>
        <v>0</v>
      </c>
      <c r="C95" s="110">
        <f>'Hourly Budget'!AC43</f>
        <v>0</v>
      </c>
      <c r="D95" s="110">
        <f>'Hourly Budget'!AD43</f>
        <v>0</v>
      </c>
      <c r="E95" s="110">
        <f>'Hourly Budget'!AE43</f>
        <v>0</v>
      </c>
      <c r="F95" s="124">
        <f>'Hourly Budget'!AH43</f>
        <v>0</v>
      </c>
      <c r="G95" s="160">
        <f>E95*((1+Rates!D$13))</f>
        <v>0</v>
      </c>
      <c r="H95" s="160">
        <f t="shared" si="2"/>
        <v>0</v>
      </c>
    </row>
    <row r="96" spans="1:8" x14ac:dyDescent="0.6">
      <c r="A96" s="118" t="str">
        <f>'Hourly Budget'!A44</f>
        <v>Name (AY)</v>
      </c>
      <c r="B96" s="109">
        <f>'Hourly Budget'!Z44</f>
        <v>0</v>
      </c>
      <c r="C96" s="110">
        <f>'Hourly Budget'!AC44</f>
        <v>0</v>
      </c>
      <c r="D96" s="110">
        <f>'Hourly Budget'!AD44</f>
        <v>0</v>
      </c>
      <c r="E96" s="110">
        <f>'Hourly Budget'!AE44</f>
        <v>0</v>
      </c>
      <c r="F96" s="124">
        <f>'Hourly Budget'!AH44</f>
        <v>0</v>
      </c>
      <c r="G96" s="160">
        <f>E96*((1+Rates!D$13))</f>
        <v>0</v>
      </c>
      <c r="H96" s="160">
        <f t="shared" si="2"/>
        <v>0</v>
      </c>
    </row>
    <row r="97" spans="1:8" x14ac:dyDescent="0.6">
      <c r="A97" s="118" t="str">
        <f>'Hourly Budget'!A45</f>
        <v>Name (AY)</v>
      </c>
      <c r="B97" s="109">
        <f>'Hourly Budget'!Z45</f>
        <v>0</v>
      </c>
      <c r="C97" s="110">
        <f>'Hourly Budget'!AC45</f>
        <v>0</v>
      </c>
      <c r="D97" s="110">
        <f>'Hourly Budget'!AD45</f>
        <v>0</v>
      </c>
      <c r="E97" s="110">
        <f>'Hourly Budget'!AE45</f>
        <v>0</v>
      </c>
      <c r="F97" s="124">
        <f>'Hourly Budget'!AH45</f>
        <v>0</v>
      </c>
      <c r="G97" s="160">
        <f>E97*((1+Rates!D$13))</f>
        <v>0</v>
      </c>
      <c r="H97" s="160">
        <f t="shared" si="2"/>
        <v>0</v>
      </c>
    </row>
    <row r="98" spans="1:8" x14ac:dyDescent="0.6">
      <c r="A98" s="118" t="str">
        <f>'Hourly Budget'!A46</f>
        <v>Name (AY)</v>
      </c>
      <c r="B98" s="109">
        <f>'Hourly Budget'!Z46</f>
        <v>0</v>
      </c>
      <c r="C98" s="110">
        <f>'Hourly Budget'!AC46</f>
        <v>0</v>
      </c>
      <c r="D98" s="110">
        <f>'Hourly Budget'!AD46</f>
        <v>0</v>
      </c>
      <c r="E98" s="110">
        <f>'Hourly Budget'!AE46</f>
        <v>0</v>
      </c>
      <c r="F98" s="124">
        <f>'Hourly Budget'!AH46</f>
        <v>0</v>
      </c>
      <c r="G98" s="160">
        <f>E98*((1+Rates!D$13))</f>
        <v>0</v>
      </c>
      <c r="H98" s="160">
        <f t="shared" si="2"/>
        <v>0</v>
      </c>
    </row>
    <row r="99" spans="1:8" x14ac:dyDescent="0.6">
      <c r="A99" s="118" t="str">
        <f>'Hourly Budget'!A47</f>
        <v>Name (Summer)</v>
      </c>
      <c r="B99" s="109">
        <f>'Hourly Budget'!Z47</f>
        <v>0</v>
      </c>
      <c r="C99" s="110">
        <f>'Hourly Budget'!AC47</f>
        <v>0</v>
      </c>
      <c r="D99" s="110">
        <f>'Hourly Budget'!AD47</f>
        <v>0</v>
      </c>
      <c r="E99" s="110">
        <f>'Hourly Budget'!AE47</f>
        <v>0</v>
      </c>
      <c r="F99" s="124">
        <f>'Hourly Budget'!AH47</f>
        <v>0</v>
      </c>
      <c r="G99" s="160">
        <f>E99*((1+Rates!D$13))</f>
        <v>0</v>
      </c>
      <c r="H99" s="160">
        <f t="shared" si="2"/>
        <v>0</v>
      </c>
    </row>
    <row r="100" spans="1:8" x14ac:dyDescent="0.6">
      <c r="A100" s="118" t="str">
        <f>'Hourly Budget'!A48</f>
        <v>Name (Summer)</v>
      </c>
      <c r="B100" s="109">
        <f>'Hourly Budget'!Z48</f>
        <v>0</v>
      </c>
      <c r="C100" s="110">
        <f>'Hourly Budget'!AC48</f>
        <v>0</v>
      </c>
      <c r="D100" s="110">
        <f>'Hourly Budget'!AD48</f>
        <v>0</v>
      </c>
      <c r="E100" s="110">
        <f>'Hourly Budget'!AE48</f>
        <v>0</v>
      </c>
      <c r="F100" s="124">
        <f>'Hourly Budget'!AH48</f>
        <v>0</v>
      </c>
      <c r="G100" s="160">
        <f>E100*((1+Rates!D$13))</f>
        <v>0</v>
      </c>
      <c r="H100" s="160">
        <f t="shared" si="2"/>
        <v>0</v>
      </c>
    </row>
    <row r="101" spans="1:8" x14ac:dyDescent="0.6">
      <c r="A101" s="118" t="str">
        <f>'Hourly Budget'!A49</f>
        <v>Name (Summer)</v>
      </c>
      <c r="B101" s="109">
        <f>'Hourly Budget'!Z49</f>
        <v>0</v>
      </c>
      <c r="C101" s="110">
        <f>'Hourly Budget'!AC49</f>
        <v>0</v>
      </c>
      <c r="D101" s="110">
        <f>'Hourly Budget'!AD49</f>
        <v>0</v>
      </c>
      <c r="E101" s="110">
        <f>'Hourly Budget'!AE49</f>
        <v>0</v>
      </c>
      <c r="F101" s="124">
        <f>'Hourly Budget'!AH49</f>
        <v>0</v>
      </c>
      <c r="G101" s="160">
        <f>E101*((1+Rates!D$13))</f>
        <v>0</v>
      </c>
      <c r="H101" s="160">
        <f t="shared" si="2"/>
        <v>0</v>
      </c>
    </row>
    <row r="102" spans="1:8" x14ac:dyDescent="0.6">
      <c r="A102" s="69" t="str">
        <f>'Hourly Budget'!A55</f>
        <v>TBN Undergraduate *Hourly</v>
      </c>
      <c r="B102" s="71">
        <f>'Hourly Budget'!Z55</f>
        <v>0</v>
      </c>
      <c r="C102" s="101">
        <f>'Hourly Budget'!AC55</f>
        <v>0</v>
      </c>
      <c r="D102" s="101">
        <f>'Hourly Budget'!AD55</f>
        <v>0</v>
      </c>
      <c r="E102" s="101">
        <f>'Hourly Budget'!AE55</f>
        <v>0</v>
      </c>
      <c r="F102" s="125">
        <f>'Hourly Budget'!AH55</f>
        <v>0</v>
      </c>
      <c r="G102" s="161">
        <f>E102*((1+Rates!D$13))</f>
        <v>0</v>
      </c>
      <c r="H102" s="161">
        <f t="shared" si="2"/>
        <v>0</v>
      </c>
    </row>
    <row r="103" spans="1:8" x14ac:dyDescent="0.6">
      <c r="A103" s="69" t="str">
        <f>'Hourly Budget'!A56</f>
        <v>Name</v>
      </c>
      <c r="B103" s="71">
        <f>'Hourly Budget'!Z56</f>
        <v>0</v>
      </c>
      <c r="C103" s="101">
        <f>'Hourly Budget'!AC56</f>
        <v>0</v>
      </c>
      <c r="D103" s="101">
        <f>'Hourly Budget'!AD56</f>
        <v>0</v>
      </c>
      <c r="E103" s="101">
        <f>'Hourly Budget'!AE56</f>
        <v>0</v>
      </c>
      <c r="F103" s="125">
        <f>'Hourly Budget'!AH56</f>
        <v>0</v>
      </c>
      <c r="G103" s="161">
        <f>E103*((1+Rates!D$13))</f>
        <v>0</v>
      </c>
      <c r="H103" s="161">
        <f t="shared" si="2"/>
        <v>0</v>
      </c>
    </row>
    <row r="104" spans="1:8" x14ac:dyDescent="0.6">
      <c r="A104" s="69" t="str">
        <f>'Hourly Budget'!A57</f>
        <v>Name</v>
      </c>
      <c r="B104" s="71">
        <f>'Hourly Budget'!Z57</f>
        <v>0</v>
      </c>
      <c r="C104" s="101">
        <f>'Hourly Budget'!AC57</f>
        <v>0</v>
      </c>
      <c r="D104" s="101">
        <f>'Hourly Budget'!AD57</f>
        <v>0</v>
      </c>
      <c r="E104" s="101">
        <f>'Hourly Budget'!AE57</f>
        <v>0</v>
      </c>
      <c r="F104" s="125">
        <f>'Hourly Budget'!AH57</f>
        <v>0</v>
      </c>
      <c r="G104" s="161">
        <f>E104*((1+Rates!D$13))</f>
        <v>0</v>
      </c>
      <c r="H104" s="161">
        <f t="shared" si="2"/>
        <v>0</v>
      </c>
    </row>
    <row r="105" spans="1:8" x14ac:dyDescent="0.6">
      <c r="A105" s="175" t="str">
        <f>'Hourly Budget'!A63</f>
        <v>Name</v>
      </c>
      <c r="B105" s="176">
        <f>'Hourly Budget'!Z63</f>
        <v>0</v>
      </c>
      <c r="C105" s="177">
        <f>'Hourly Budget'!AC63</f>
        <v>0</v>
      </c>
      <c r="D105" s="177">
        <f>'Hourly Budget'!AD63</f>
        <v>0</v>
      </c>
      <c r="E105" s="177">
        <f>'Hourly Budget'!AE63</f>
        <v>0</v>
      </c>
      <c r="F105" s="178">
        <f>'Hourly Budget'!AH63</f>
        <v>0</v>
      </c>
      <c r="G105" s="179">
        <f>E105*((1+Rates!D$13))</f>
        <v>0</v>
      </c>
      <c r="H105" s="179">
        <f>G105*B105</f>
        <v>0</v>
      </c>
    </row>
    <row r="106" spans="1:8" x14ac:dyDescent="0.6">
      <c r="A106" s="175" t="str">
        <f>'Hourly Budget'!A64</f>
        <v>Name</v>
      </c>
      <c r="B106" s="176">
        <f>'Hourly Budget'!Z64</f>
        <v>0</v>
      </c>
      <c r="C106" s="177">
        <f>'Hourly Budget'!AC64</f>
        <v>0</v>
      </c>
      <c r="D106" s="177">
        <f>'Hourly Budget'!AD64</f>
        <v>0</v>
      </c>
      <c r="E106" s="177">
        <f>'Hourly Budget'!AE64</f>
        <v>0</v>
      </c>
      <c r="F106" s="178">
        <f>'Hourly Budget'!AH64</f>
        <v>0</v>
      </c>
      <c r="G106" s="179">
        <f>E106*((1+Rates!D$13))</f>
        <v>0</v>
      </c>
      <c r="H106" s="179">
        <f>G106*B106</f>
        <v>0</v>
      </c>
    </row>
    <row r="107" spans="1:8" x14ac:dyDescent="0.6">
      <c r="A107" s="175" t="str">
        <f>'Hourly Budget'!A65</f>
        <v>Name</v>
      </c>
      <c r="B107" s="176">
        <f>'Hourly Budget'!Z65</f>
        <v>0</v>
      </c>
      <c r="C107" s="177">
        <f>'Hourly Budget'!AC65</f>
        <v>0</v>
      </c>
      <c r="D107" s="177">
        <f>'Hourly Budget'!AD65</f>
        <v>0</v>
      </c>
      <c r="E107" s="177">
        <f>'Hourly Budget'!AE65</f>
        <v>0</v>
      </c>
      <c r="F107" s="178">
        <f>'Hourly Budget'!AH65</f>
        <v>0</v>
      </c>
      <c r="G107" s="179">
        <f>E107*((1+Rates!D$13))</f>
        <v>0</v>
      </c>
      <c r="H107" s="179">
        <f>G107*B107</f>
        <v>0</v>
      </c>
    </row>
    <row r="108" spans="1:8" x14ac:dyDescent="0.6">
      <c r="B108" s="12"/>
      <c r="C108" s="93"/>
      <c r="D108" s="93"/>
      <c r="E108" s="100" t="s">
        <v>2</v>
      </c>
      <c r="F108" s="100">
        <f>SUM(F75:F107)</f>
        <v>0</v>
      </c>
      <c r="H108" s="162">
        <f>SUM(H75:H107)</f>
        <v>0</v>
      </c>
    </row>
    <row r="109" spans="1:8" x14ac:dyDescent="0.6">
      <c r="B109" s="12"/>
      <c r="E109" s="93"/>
      <c r="F109" s="93"/>
    </row>
    <row r="110" spans="1:8" ht="15.5" x14ac:dyDescent="0.7">
      <c r="A110" s="2" t="s">
        <v>13</v>
      </c>
      <c r="B110" s="12"/>
      <c r="E110" s="93"/>
      <c r="F110" s="93"/>
    </row>
    <row r="111" spans="1:8" x14ac:dyDescent="0.6">
      <c r="A111" s="115" t="str">
        <f>'Hourly Budget'!A8</f>
        <v>Martinez Machain, Carla (AY)</v>
      </c>
      <c r="B111" s="107">
        <f>'Hourly Budget'!AK8</f>
        <v>0</v>
      </c>
      <c r="C111" s="108">
        <f>'Hourly Budget'!AN8</f>
        <v>111.50919699692308</v>
      </c>
      <c r="D111" s="108">
        <f>'Hourly Budget'!AO8</f>
        <v>76.13847970949908</v>
      </c>
      <c r="E111" s="108">
        <f>'Hourly Budget'!AP8</f>
        <v>187.64767670642215</v>
      </c>
      <c r="F111" s="121">
        <f>'Hourly Budget'!AS8</f>
        <v>0</v>
      </c>
      <c r="G111" s="157">
        <f>E111*((1+Rates!E$13))</f>
        <v>302.11275949733965</v>
      </c>
      <c r="H111" s="157">
        <f>G111*B111</f>
        <v>0</v>
      </c>
    </row>
    <row r="112" spans="1:8" x14ac:dyDescent="0.6">
      <c r="A112" s="115" t="str">
        <f>'Hourly Budget'!A9</f>
        <v>Name (AY)</v>
      </c>
      <c r="B112" s="107">
        <f>'Hourly Budget'!AK9</f>
        <v>0</v>
      </c>
      <c r="C112" s="108">
        <f>'Hourly Budget'!AN9</f>
        <v>0</v>
      </c>
      <c r="D112" s="108">
        <f>'Hourly Budget'!AO9</f>
        <v>0</v>
      </c>
      <c r="E112" s="108">
        <f>'Hourly Budget'!AP9</f>
        <v>0</v>
      </c>
      <c r="F112" s="121">
        <f>'Hourly Budget'!AS9</f>
        <v>0</v>
      </c>
      <c r="G112" s="157">
        <f>E112*((1+Rates!E$13))</f>
        <v>0</v>
      </c>
      <c r="H112" s="157">
        <f>G112*B112</f>
        <v>0</v>
      </c>
    </row>
    <row r="113" spans="1:8" x14ac:dyDescent="0.6">
      <c r="A113" s="115" t="str">
        <f>'Hourly Budget'!A10</f>
        <v>Name (AY)</v>
      </c>
      <c r="B113" s="107">
        <f>'Hourly Budget'!AK10</f>
        <v>0</v>
      </c>
      <c r="C113" s="108">
        <f>'Hourly Budget'!AN10</f>
        <v>0</v>
      </c>
      <c r="D113" s="108">
        <f>'Hourly Budget'!AO10</f>
        <v>0</v>
      </c>
      <c r="E113" s="108">
        <f>'Hourly Budget'!AP10</f>
        <v>0</v>
      </c>
      <c r="F113" s="121">
        <f>'Hourly Budget'!AS10</f>
        <v>0</v>
      </c>
      <c r="G113" s="157">
        <f>E113*((1+Rates!E$13))</f>
        <v>0</v>
      </c>
      <c r="H113" s="157">
        <f>G113*B113</f>
        <v>0</v>
      </c>
    </row>
    <row r="114" spans="1:8" x14ac:dyDescent="0.6">
      <c r="A114" s="115" t="str">
        <f>'Hourly Budget'!A11</f>
        <v>Name (AY)</v>
      </c>
      <c r="B114" s="107">
        <f>'Hourly Budget'!AK11</f>
        <v>0</v>
      </c>
      <c r="C114" s="108">
        <f>'Hourly Budget'!AN11</f>
        <v>0</v>
      </c>
      <c r="D114" s="108">
        <f>'Hourly Budget'!AO11</f>
        <v>0</v>
      </c>
      <c r="E114" s="108">
        <f>'Hourly Budget'!AP11</f>
        <v>0</v>
      </c>
      <c r="F114" s="121">
        <f>'Hourly Budget'!AS11</f>
        <v>0</v>
      </c>
      <c r="G114" s="157">
        <f>E114*((1+Rates!E$13))</f>
        <v>0</v>
      </c>
      <c r="H114" s="157">
        <f t="shared" ref="H114:H140" si="3">G114*B114</f>
        <v>0</v>
      </c>
    </row>
    <row r="115" spans="1:8" x14ac:dyDescent="0.6">
      <c r="A115" s="115" t="str">
        <f>'Hourly Budget'!A12</f>
        <v>Name (AY)</v>
      </c>
      <c r="B115" s="107">
        <f>'Hourly Budget'!AK12</f>
        <v>0</v>
      </c>
      <c r="C115" s="108">
        <f>'Hourly Budget'!AN12</f>
        <v>0</v>
      </c>
      <c r="D115" s="108">
        <f>'Hourly Budget'!AO12</f>
        <v>0</v>
      </c>
      <c r="E115" s="108">
        <f>'Hourly Budget'!AP12</f>
        <v>0</v>
      </c>
      <c r="F115" s="121">
        <f>'Hourly Budget'!AS12</f>
        <v>0</v>
      </c>
      <c r="G115" s="157">
        <f>E115*((1+Rates!E$13))</f>
        <v>0</v>
      </c>
      <c r="H115" s="157">
        <f t="shared" si="3"/>
        <v>0</v>
      </c>
    </row>
    <row r="116" spans="1:8" x14ac:dyDescent="0.6">
      <c r="A116" s="115" t="str">
        <f>'Hourly Budget'!A13</f>
        <v>Name (CY)</v>
      </c>
      <c r="B116" s="107">
        <f>'Hourly Budget'!AK13</f>
        <v>0</v>
      </c>
      <c r="C116" s="108">
        <f>'Hourly Budget'!AN13</f>
        <v>0</v>
      </c>
      <c r="D116" s="108">
        <f>'Hourly Budget'!AO13</f>
        <v>0</v>
      </c>
      <c r="E116" s="108">
        <f>'Hourly Budget'!AP13</f>
        <v>0</v>
      </c>
      <c r="F116" s="121">
        <f>'Hourly Budget'!AS13</f>
        <v>0</v>
      </c>
      <c r="G116" s="157">
        <f>E116*((1+Rates!E$13))</f>
        <v>0</v>
      </c>
      <c r="H116" s="157">
        <f t="shared" si="3"/>
        <v>0</v>
      </c>
    </row>
    <row r="117" spans="1:8" x14ac:dyDescent="0.6">
      <c r="A117" s="115" t="str">
        <f>'Hourly Budget'!A14</f>
        <v>Name (CY)</v>
      </c>
      <c r="B117" s="107">
        <f>'Hourly Budget'!AK14</f>
        <v>0</v>
      </c>
      <c r="C117" s="108">
        <f>'Hourly Budget'!AN14</f>
        <v>0</v>
      </c>
      <c r="D117" s="108">
        <f>'Hourly Budget'!AO14</f>
        <v>0</v>
      </c>
      <c r="E117" s="108">
        <f>'Hourly Budget'!AP14</f>
        <v>0</v>
      </c>
      <c r="F117" s="121">
        <f>'Hourly Budget'!AS14</f>
        <v>0</v>
      </c>
      <c r="G117" s="157">
        <f>E117*((1+Rates!E$13))</f>
        <v>0</v>
      </c>
      <c r="H117" s="157">
        <f t="shared" si="3"/>
        <v>0</v>
      </c>
    </row>
    <row r="118" spans="1:8" x14ac:dyDescent="0.6">
      <c r="A118" s="115" t="str">
        <f>'Hourly Budget'!A15</f>
        <v>Name (CY)</v>
      </c>
      <c r="B118" s="107">
        <f>'Hourly Budget'!AK15</f>
        <v>0</v>
      </c>
      <c r="C118" s="108">
        <f>'Hourly Budget'!AN15</f>
        <v>0</v>
      </c>
      <c r="D118" s="108">
        <f>'Hourly Budget'!AO15</f>
        <v>0</v>
      </c>
      <c r="E118" s="108">
        <f>'Hourly Budget'!AP15</f>
        <v>0</v>
      </c>
      <c r="F118" s="121">
        <f>'Hourly Budget'!AS15</f>
        <v>0</v>
      </c>
      <c r="G118" s="157">
        <f>E118*((1+Rates!E$13))</f>
        <v>0</v>
      </c>
      <c r="H118" s="157">
        <f t="shared" si="3"/>
        <v>0</v>
      </c>
    </row>
    <row r="119" spans="1:8" x14ac:dyDescent="0.6">
      <c r="A119" s="115" t="str">
        <f>'Hourly Budget'!A16</f>
        <v>Name (CY)</v>
      </c>
      <c r="B119" s="107">
        <f>'Hourly Budget'!AK16</f>
        <v>0</v>
      </c>
      <c r="C119" s="108">
        <f>'Hourly Budget'!AN16</f>
        <v>0</v>
      </c>
      <c r="D119" s="108">
        <f>'Hourly Budget'!AO16</f>
        <v>0</v>
      </c>
      <c r="E119" s="108">
        <f>'Hourly Budget'!AP16</f>
        <v>0</v>
      </c>
      <c r="F119" s="121">
        <f>'Hourly Budget'!AS16</f>
        <v>0</v>
      </c>
      <c r="G119" s="157">
        <f>E119*((1+Rates!E$13))</f>
        <v>0</v>
      </c>
      <c r="H119" s="157">
        <f t="shared" si="3"/>
        <v>0</v>
      </c>
    </row>
    <row r="120" spans="1:8" x14ac:dyDescent="0.6">
      <c r="A120" s="115" t="str">
        <f>'Hourly Budget'!A17</f>
        <v>Name (CY)</v>
      </c>
      <c r="B120" s="107">
        <f>'Hourly Budget'!AK17</f>
        <v>0</v>
      </c>
      <c r="C120" s="108">
        <f>'Hourly Budget'!AN17</f>
        <v>0</v>
      </c>
      <c r="D120" s="108">
        <f>'Hourly Budget'!AO17</f>
        <v>0</v>
      </c>
      <c r="E120" s="108">
        <f>'Hourly Budget'!AP17</f>
        <v>0</v>
      </c>
      <c r="F120" s="121">
        <f>'Hourly Budget'!AS17</f>
        <v>0</v>
      </c>
      <c r="G120" s="157">
        <f>E120*((1+Rates!E$13))</f>
        <v>0</v>
      </c>
      <c r="H120" s="157">
        <f t="shared" si="3"/>
        <v>0</v>
      </c>
    </row>
    <row r="121" spans="1:8" x14ac:dyDescent="0.6">
      <c r="A121" s="116" t="str">
        <f>'Hourly Budget'!A23</f>
        <v>Martinez Machain, Carla</v>
      </c>
      <c r="B121" s="113">
        <f>'Hourly Budget'!AK23</f>
        <v>0</v>
      </c>
      <c r="C121" s="114">
        <f>'Hourly Budget'!AN23</f>
        <v>108.2613563076923</v>
      </c>
      <c r="D121" s="114">
        <f>'Hourly Budget'!AO23</f>
        <v>15.697896664615381</v>
      </c>
      <c r="E121" s="114">
        <f>'Hourly Budget'!AP23</f>
        <v>123.95925297230768</v>
      </c>
      <c r="F121" s="122">
        <f>'Hourly Budget'!AS23</f>
        <v>0</v>
      </c>
      <c r="G121" s="158">
        <f>E121*((1+Rates!E$13))</f>
        <v>199.57439728541536</v>
      </c>
      <c r="H121" s="158">
        <f t="shared" si="3"/>
        <v>0</v>
      </c>
    </row>
    <row r="122" spans="1:8" x14ac:dyDescent="0.6">
      <c r="A122" s="116" t="str">
        <f>'Hourly Budget'!A24</f>
        <v>Name</v>
      </c>
      <c r="B122" s="113">
        <f>'Hourly Budget'!AK24</f>
        <v>0</v>
      </c>
      <c r="C122" s="114">
        <f>'Hourly Budget'!AN24</f>
        <v>0</v>
      </c>
      <c r="D122" s="114">
        <f>'Hourly Budget'!AO24</f>
        <v>0</v>
      </c>
      <c r="E122" s="114">
        <f>'Hourly Budget'!AP24</f>
        <v>0</v>
      </c>
      <c r="F122" s="122">
        <f>'Hourly Budget'!AS24</f>
        <v>0</v>
      </c>
      <c r="G122" s="158">
        <f>E122*((1+Rates!E$13))</f>
        <v>0</v>
      </c>
      <c r="H122" s="158">
        <f t="shared" si="3"/>
        <v>0</v>
      </c>
    </row>
    <row r="123" spans="1:8" x14ac:dyDescent="0.6">
      <c r="A123" s="116" t="str">
        <f>'Hourly Budget'!A25</f>
        <v>Name</v>
      </c>
      <c r="B123" s="113">
        <f>'Hourly Budget'!AK25</f>
        <v>0</v>
      </c>
      <c r="C123" s="114">
        <f>'Hourly Budget'!AN25</f>
        <v>0</v>
      </c>
      <c r="D123" s="114">
        <f>'Hourly Budget'!AO25</f>
        <v>0</v>
      </c>
      <c r="E123" s="114">
        <f>'Hourly Budget'!AP25</f>
        <v>0</v>
      </c>
      <c r="F123" s="122">
        <f>'Hourly Budget'!AS25</f>
        <v>0</v>
      </c>
      <c r="G123" s="158">
        <f>E123*((1+Rates!E$13))</f>
        <v>0</v>
      </c>
      <c r="H123" s="158">
        <f t="shared" si="3"/>
        <v>0</v>
      </c>
    </row>
    <row r="124" spans="1:8" x14ac:dyDescent="0.6">
      <c r="A124" s="116" t="str">
        <f>'Hourly Budget'!A26</f>
        <v>Name</v>
      </c>
      <c r="B124" s="113">
        <f>'Hourly Budget'!AK26</f>
        <v>0</v>
      </c>
      <c r="C124" s="114">
        <f>'Hourly Budget'!AN26</f>
        <v>0</v>
      </c>
      <c r="D124" s="114">
        <f>'Hourly Budget'!AO26</f>
        <v>0</v>
      </c>
      <c r="E124" s="114">
        <f>'Hourly Budget'!AP26</f>
        <v>0</v>
      </c>
      <c r="F124" s="122">
        <f>'Hourly Budget'!AS26</f>
        <v>0</v>
      </c>
      <c r="G124" s="158">
        <f>E124*((1+Rates!E$13))</f>
        <v>0</v>
      </c>
      <c r="H124" s="158">
        <f t="shared" si="3"/>
        <v>0</v>
      </c>
    </row>
    <row r="125" spans="1:8" x14ac:dyDescent="0.6">
      <c r="A125" s="116" t="str">
        <f>'Hourly Budget'!A27</f>
        <v>Name</v>
      </c>
      <c r="B125" s="113">
        <f>'Hourly Budget'!AK27</f>
        <v>0</v>
      </c>
      <c r="C125" s="114">
        <f>'Hourly Budget'!AN27</f>
        <v>0</v>
      </c>
      <c r="D125" s="114">
        <f>'Hourly Budget'!AO27</f>
        <v>0</v>
      </c>
      <c r="E125" s="114">
        <f>'Hourly Budget'!AP27</f>
        <v>0</v>
      </c>
      <c r="F125" s="122">
        <f>'Hourly Budget'!AS27</f>
        <v>0</v>
      </c>
      <c r="G125" s="158">
        <f>E125*((1+Rates!E$13))</f>
        <v>0</v>
      </c>
      <c r="H125" s="158">
        <f t="shared" si="3"/>
        <v>0</v>
      </c>
    </row>
    <row r="126" spans="1:8" x14ac:dyDescent="0.6">
      <c r="A126" s="117" t="str">
        <f>'Hourly Budget'!A33</f>
        <v>Name</v>
      </c>
      <c r="B126" s="111">
        <f>'Hourly Budget'!AK33</f>
        <v>0</v>
      </c>
      <c r="C126" s="112">
        <f>'Hourly Budget'!AN33</f>
        <v>0</v>
      </c>
      <c r="D126" s="112">
        <f>'Hourly Budget'!AO33</f>
        <v>0</v>
      </c>
      <c r="E126" s="112">
        <f>'Hourly Budget'!AP33</f>
        <v>0</v>
      </c>
      <c r="F126" s="123">
        <f>'Hourly Budget'!AS33</f>
        <v>0</v>
      </c>
      <c r="G126" s="159">
        <f>E126*((1+Rates!E$13))</f>
        <v>0</v>
      </c>
      <c r="H126" s="159">
        <f t="shared" si="3"/>
        <v>0</v>
      </c>
    </row>
    <row r="127" spans="1:8" x14ac:dyDescent="0.6">
      <c r="A127" s="117" t="str">
        <f>'Hourly Budget'!A34</f>
        <v>Name</v>
      </c>
      <c r="B127" s="111">
        <f>'Hourly Budget'!AK34</f>
        <v>0</v>
      </c>
      <c r="C127" s="112">
        <f>'Hourly Budget'!AN34</f>
        <v>0</v>
      </c>
      <c r="D127" s="112">
        <f>'Hourly Budget'!AO34</f>
        <v>0</v>
      </c>
      <c r="E127" s="112">
        <f>'Hourly Budget'!AP34</f>
        <v>0</v>
      </c>
      <c r="F127" s="123">
        <f>'Hourly Budget'!AS34</f>
        <v>0</v>
      </c>
      <c r="G127" s="159">
        <f>E127*((1+Rates!E$13))</f>
        <v>0</v>
      </c>
      <c r="H127" s="159">
        <f t="shared" si="3"/>
        <v>0</v>
      </c>
    </row>
    <row r="128" spans="1:8" x14ac:dyDescent="0.6">
      <c r="A128" s="117" t="str">
        <f>'Hourly Budget'!A35</f>
        <v>Name</v>
      </c>
      <c r="B128" s="111">
        <f>'Hourly Budget'!AK35</f>
        <v>0</v>
      </c>
      <c r="C128" s="112">
        <f>'Hourly Budget'!AN35</f>
        <v>0</v>
      </c>
      <c r="D128" s="112">
        <f>'Hourly Budget'!AO35</f>
        <v>0</v>
      </c>
      <c r="E128" s="112">
        <f>'Hourly Budget'!AP35</f>
        <v>0</v>
      </c>
      <c r="F128" s="123">
        <f>'Hourly Budget'!AS35</f>
        <v>0</v>
      </c>
      <c r="G128" s="159">
        <f>E128*((1+Rates!E$13))</f>
        <v>0</v>
      </c>
      <c r="H128" s="159">
        <f t="shared" si="3"/>
        <v>0</v>
      </c>
    </row>
    <row r="129" spans="1:8" x14ac:dyDescent="0.6">
      <c r="A129" s="118" t="str">
        <f>'Hourly Budget'!A41</f>
        <v>Name (CY)</v>
      </c>
      <c r="B129" s="109">
        <f>'Hourly Budget'!AK41</f>
        <v>0</v>
      </c>
      <c r="C129" s="110">
        <f>'Hourly Budget'!AN41</f>
        <v>0</v>
      </c>
      <c r="D129" s="110">
        <f>'Hourly Budget'!AO41</f>
        <v>0</v>
      </c>
      <c r="E129" s="110">
        <f>'Hourly Budget'!AP41</f>
        <v>0</v>
      </c>
      <c r="F129" s="124">
        <f>'Hourly Budget'!AS41</f>
        <v>0</v>
      </c>
      <c r="G129" s="160">
        <f>E129*((1+Rates!E$13))</f>
        <v>0</v>
      </c>
      <c r="H129" s="160">
        <f t="shared" si="3"/>
        <v>0</v>
      </c>
    </row>
    <row r="130" spans="1:8" x14ac:dyDescent="0.6">
      <c r="A130" s="118" t="str">
        <f>'Hourly Budget'!A42</f>
        <v>Name (CY)</v>
      </c>
      <c r="B130" s="109">
        <f>'Hourly Budget'!AK42</f>
        <v>0</v>
      </c>
      <c r="C130" s="110">
        <f>'Hourly Budget'!AN42</f>
        <v>0</v>
      </c>
      <c r="D130" s="110">
        <f>'Hourly Budget'!AO42</f>
        <v>0</v>
      </c>
      <c r="E130" s="110">
        <f>'Hourly Budget'!AP42</f>
        <v>0</v>
      </c>
      <c r="F130" s="124">
        <f>'Hourly Budget'!AS42</f>
        <v>0</v>
      </c>
      <c r="G130" s="160">
        <f>E130*((1+Rates!E$13))</f>
        <v>0</v>
      </c>
      <c r="H130" s="160">
        <f t="shared" si="3"/>
        <v>0</v>
      </c>
    </row>
    <row r="131" spans="1:8" x14ac:dyDescent="0.6">
      <c r="A131" s="118" t="str">
        <f>'Hourly Budget'!A43</f>
        <v>Name (CY)</v>
      </c>
      <c r="B131" s="109">
        <f>'Hourly Budget'!AK43</f>
        <v>0</v>
      </c>
      <c r="C131" s="110">
        <f>'Hourly Budget'!AN43</f>
        <v>0</v>
      </c>
      <c r="D131" s="110">
        <f>'Hourly Budget'!AO43</f>
        <v>0</v>
      </c>
      <c r="E131" s="110">
        <f>'Hourly Budget'!AP43</f>
        <v>0</v>
      </c>
      <c r="F131" s="124">
        <f>'Hourly Budget'!AS43</f>
        <v>0</v>
      </c>
      <c r="G131" s="160">
        <f>E131*((1+Rates!E$13))</f>
        <v>0</v>
      </c>
      <c r="H131" s="160">
        <f t="shared" si="3"/>
        <v>0</v>
      </c>
    </row>
    <row r="132" spans="1:8" x14ac:dyDescent="0.6">
      <c r="A132" s="118" t="str">
        <f>'Hourly Budget'!A44</f>
        <v>Name (AY)</v>
      </c>
      <c r="B132" s="109">
        <f>'Hourly Budget'!AK44</f>
        <v>0</v>
      </c>
      <c r="C132" s="110">
        <f>'Hourly Budget'!AN44</f>
        <v>0</v>
      </c>
      <c r="D132" s="110">
        <f>'Hourly Budget'!AO44</f>
        <v>0</v>
      </c>
      <c r="E132" s="110">
        <f>'Hourly Budget'!AP44</f>
        <v>0</v>
      </c>
      <c r="F132" s="124">
        <f>'Hourly Budget'!AS44</f>
        <v>0</v>
      </c>
      <c r="G132" s="160">
        <f>E132*((1+Rates!E$13))</f>
        <v>0</v>
      </c>
      <c r="H132" s="160">
        <f t="shared" si="3"/>
        <v>0</v>
      </c>
    </row>
    <row r="133" spans="1:8" x14ac:dyDescent="0.6">
      <c r="A133" s="118" t="str">
        <f>'Hourly Budget'!A45</f>
        <v>Name (AY)</v>
      </c>
      <c r="B133" s="109">
        <f>'Hourly Budget'!AK45</f>
        <v>0</v>
      </c>
      <c r="C133" s="110">
        <f>'Hourly Budget'!AN45</f>
        <v>0</v>
      </c>
      <c r="D133" s="110">
        <f>'Hourly Budget'!AO45</f>
        <v>0</v>
      </c>
      <c r="E133" s="110">
        <f>'Hourly Budget'!AP45</f>
        <v>0</v>
      </c>
      <c r="F133" s="124">
        <f>'Hourly Budget'!AS45</f>
        <v>0</v>
      </c>
      <c r="G133" s="160">
        <f>E133*((1+Rates!E$13))</f>
        <v>0</v>
      </c>
      <c r="H133" s="160">
        <f t="shared" si="3"/>
        <v>0</v>
      </c>
    </row>
    <row r="134" spans="1:8" x14ac:dyDescent="0.6">
      <c r="A134" s="118" t="str">
        <f>'Hourly Budget'!A46</f>
        <v>Name (AY)</v>
      </c>
      <c r="B134" s="109">
        <f>'Hourly Budget'!AK46</f>
        <v>0</v>
      </c>
      <c r="C134" s="110">
        <f>'Hourly Budget'!AN46</f>
        <v>0</v>
      </c>
      <c r="D134" s="110">
        <f>'Hourly Budget'!AO46</f>
        <v>0</v>
      </c>
      <c r="E134" s="110">
        <f>'Hourly Budget'!AP46</f>
        <v>0</v>
      </c>
      <c r="F134" s="124">
        <f>'Hourly Budget'!AS46</f>
        <v>0</v>
      </c>
      <c r="G134" s="160">
        <f>E134*((1+Rates!E$13))</f>
        <v>0</v>
      </c>
      <c r="H134" s="160">
        <f t="shared" si="3"/>
        <v>0</v>
      </c>
    </row>
    <row r="135" spans="1:8" x14ac:dyDescent="0.6">
      <c r="A135" s="118" t="str">
        <f>'Hourly Budget'!A47</f>
        <v>Name (Summer)</v>
      </c>
      <c r="B135" s="109">
        <f>'Hourly Budget'!AK47</f>
        <v>0</v>
      </c>
      <c r="C135" s="110">
        <f>'Hourly Budget'!AN47</f>
        <v>0</v>
      </c>
      <c r="D135" s="110">
        <f>'Hourly Budget'!AO47</f>
        <v>0</v>
      </c>
      <c r="E135" s="110">
        <f>'Hourly Budget'!AP47</f>
        <v>0</v>
      </c>
      <c r="F135" s="124">
        <f>'Hourly Budget'!AS47</f>
        <v>0</v>
      </c>
      <c r="G135" s="160">
        <f>E135*((1+Rates!E$13))</f>
        <v>0</v>
      </c>
      <c r="H135" s="160">
        <f t="shared" si="3"/>
        <v>0</v>
      </c>
    </row>
    <row r="136" spans="1:8" x14ac:dyDescent="0.6">
      <c r="A136" s="118" t="str">
        <f>'Hourly Budget'!A48</f>
        <v>Name (Summer)</v>
      </c>
      <c r="B136" s="109">
        <f>'Hourly Budget'!AK48</f>
        <v>0</v>
      </c>
      <c r="C136" s="110">
        <f>'Hourly Budget'!AN48</f>
        <v>0</v>
      </c>
      <c r="D136" s="110">
        <f>'Hourly Budget'!AO48</f>
        <v>0</v>
      </c>
      <c r="E136" s="110">
        <f>'Hourly Budget'!AP48</f>
        <v>0</v>
      </c>
      <c r="F136" s="124">
        <f>'Hourly Budget'!AS48</f>
        <v>0</v>
      </c>
      <c r="G136" s="160">
        <f>E136*((1+Rates!E$13))</f>
        <v>0</v>
      </c>
      <c r="H136" s="160">
        <f t="shared" si="3"/>
        <v>0</v>
      </c>
    </row>
    <row r="137" spans="1:8" x14ac:dyDescent="0.6">
      <c r="A137" s="118" t="str">
        <f>'Hourly Budget'!A49</f>
        <v>Name (Summer)</v>
      </c>
      <c r="B137" s="109">
        <f>'Hourly Budget'!AK49</f>
        <v>0</v>
      </c>
      <c r="C137" s="110">
        <f>'Hourly Budget'!AN49</f>
        <v>0</v>
      </c>
      <c r="D137" s="110">
        <f>'Hourly Budget'!AO49</f>
        <v>0</v>
      </c>
      <c r="E137" s="110">
        <f>'Hourly Budget'!AP49</f>
        <v>0</v>
      </c>
      <c r="F137" s="124">
        <f>'Hourly Budget'!AS49</f>
        <v>0</v>
      </c>
      <c r="G137" s="160">
        <f>E137*((1+Rates!E$13))</f>
        <v>0</v>
      </c>
      <c r="H137" s="160">
        <f t="shared" si="3"/>
        <v>0</v>
      </c>
    </row>
    <row r="138" spans="1:8" x14ac:dyDescent="0.6">
      <c r="A138" s="69" t="str">
        <f>'Hourly Budget'!A55</f>
        <v>TBN Undergraduate *Hourly</v>
      </c>
      <c r="B138" s="71">
        <f>'Hourly Budget'!AK55</f>
        <v>0</v>
      </c>
      <c r="C138" s="101">
        <f>'Hourly Budget'!AN55</f>
        <v>0</v>
      </c>
      <c r="D138" s="101">
        <f>'Hourly Budget'!AO55</f>
        <v>0</v>
      </c>
      <c r="E138" s="101">
        <f>'Hourly Budget'!AP55</f>
        <v>0</v>
      </c>
      <c r="F138" s="125">
        <f>'Hourly Budget'!AS55</f>
        <v>0</v>
      </c>
      <c r="G138" s="161">
        <f>E138*((1+Rates!E$13))</f>
        <v>0</v>
      </c>
      <c r="H138" s="161">
        <f t="shared" si="3"/>
        <v>0</v>
      </c>
    </row>
    <row r="139" spans="1:8" x14ac:dyDescent="0.6">
      <c r="A139" s="69" t="str">
        <f>'Hourly Budget'!A56</f>
        <v>Name</v>
      </c>
      <c r="B139" s="71">
        <f>'Hourly Budget'!AK56</f>
        <v>0</v>
      </c>
      <c r="C139" s="101">
        <f>'Hourly Budget'!AN56</f>
        <v>0</v>
      </c>
      <c r="D139" s="101">
        <f>'Hourly Budget'!AO56</f>
        <v>0</v>
      </c>
      <c r="E139" s="101">
        <f>'Hourly Budget'!AP56</f>
        <v>0</v>
      </c>
      <c r="F139" s="125">
        <f>'Hourly Budget'!AS56</f>
        <v>0</v>
      </c>
      <c r="G139" s="161">
        <f>E139*((1+Rates!E$13))</f>
        <v>0</v>
      </c>
      <c r="H139" s="161">
        <f t="shared" si="3"/>
        <v>0</v>
      </c>
    </row>
    <row r="140" spans="1:8" x14ac:dyDescent="0.6">
      <c r="A140" s="69" t="str">
        <f>'Hourly Budget'!A57</f>
        <v>Name</v>
      </c>
      <c r="B140" s="71">
        <f>'Hourly Budget'!AK57</f>
        <v>0</v>
      </c>
      <c r="C140" s="101">
        <f>'Hourly Budget'!AN57</f>
        <v>0</v>
      </c>
      <c r="D140" s="101">
        <f>'Hourly Budget'!AO57</f>
        <v>0</v>
      </c>
      <c r="E140" s="101">
        <f>'Hourly Budget'!AP57</f>
        <v>0</v>
      </c>
      <c r="F140" s="125">
        <f>'Hourly Budget'!AS57</f>
        <v>0</v>
      </c>
      <c r="G140" s="161">
        <f>E140*((1+Rates!E$13))</f>
        <v>0</v>
      </c>
      <c r="H140" s="161">
        <f t="shared" si="3"/>
        <v>0</v>
      </c>
    </row>
    <row r="141" spans="1:8" x14ac:dyDescent="0.6">
      <c r="A141" s="175" t="str">
        <f>'Hourly Budget'!A63</f>
        <v>Name</v>
      </c>
      <c r="B141" s="176">
        <f>'Hourly Budget'!AK63</f>
        <v>0</v>
      </c>
      <c r="C141" s="177">
        <f>'Hourly Budget'!AN63</f>
        <v>0</v>
      </c>
      <c r="D141" s="177">
        <f>'Hourly Budget'!AO63</f>
        <v>0</v>
      </c>
      <c r="E141" s="177">
        <f>'Hourly Budget'!AP63</f>
        <v>0</v>
      </c>
      <c r="F141" s="178">
        <f>'Hourly Budget'!AS63</f>
        <v>0</v>
      </c>
      <c r="G141" s="179">
        <f>E141*((1+Rates!E$13))</f>
        <v>0</v>
      </c>
      <c r="H141" s="179">
        <f>G141*B141</f>
        <v>0</v>
      </c>
    </row>
    <row r="142" spans="1:8" x14ac:dyDescent="0.6">
      <c r="A142" s="175" t="str">
        <f>'Hourly Budget'!A64</f>
        <v>Name</v>
      </c>
      <c r="B142" s="176">
        <f>'Hourly Budget'!AK64</f>
        <v>0</v>
      </c>
      <c r="C142" s="177">
        <f>'Hourly Budget'!AN64</f>
        <v>0</v>
      </c>
      <c r="D142" s="177">
        <f>'Hourly Budget'!AO64</f>
        <v>0</v>
      </c>
      <c r="E142" s="177">
        <f>'Hourly Budget'!AP64</f>
        <v>0</v>
      </c>
      <c r="F142" s="178">
        <f>'Hourly Budget'!AS64</f>
        <v>0</v>
      </c>
      <c r="G142" s="179">
        <f>E142*((1+Rates!E$13))</f>
        <v>0</v>
      </c>
      <c r="H142" s="179">
        <f>G142*B142</f>
        <v>0</v>
      </c>
    </row>
    <row r="143" spans="1:8" x14ac:dyDescent="0.6">
      <c r="A143" s="175" t="str">
        <f>'Hourly Budget'!A65</f>
        <v>Name</v>
      </c>
      <c r="B143" s="176">
        <f>'Hourly Budget'!AK65</f>
        <v>0</v>
      </c>
      <c r="C143" s="177">
        <f>'Hourly Budget'!AN65</f>
        <v>0</v>
      </c>
      <c r="D143" s="177">
        <f>'Hourly Budget'!AO65</f>
        <v>0</v>
      </c>
      <c r="E143" s="177">
        <f>'Hourly Budget'!AP65</f>
        <v>0</v>
      </c>
      <c r="F143" s="178">
        <f>'Hourly Budget'!AS65</f>
        <v>0</v>
      </c>
      <c r="G143" s="179">
        <f>E143*((1+Rates!E$13))</f>
        <v>0</v>
      </c>
      <c r="H143" s="179">
        <f>G143*B143</f>
        <v>0</v>
      </c>
    </row>
    <row r="144" spans="1:8" x14ac:dyDescent="0.6">
      <c r="B144" s="12"/>
      <c r="E144" s="100" t="s">
        <v>2</v>
      </c>
      <c r="F144" s="100">
        <f>SUM(F111:F143)</f>
        <v>0</v>
      </c>
      <c r="H144" s="162">
        <f>SUM(H111:H143)</f>
        <v>0</v>
      </c>
    </row>
    <row r="145" spans="1:8" x14ac:dyDescent="0.6">
      <c r="B145" s="12"/>
      <c r="E145" s="93"/>
      <c r="F145" s="93"/>
    </row>
    <row r="146" spans="1:8" ht="15.5" x14ac:dyDescent="0.7">
      <c r="A146" s="2" t="s">
        <v>14</v>
      </c>
      <c r="B146" s="12"/>
      <c r="C146" s="12"/>
      <c r="E146" s="93"/>
      <c r="F146" s="93"/>
    </row>
    <row r="147" spans="1:8" x14ac:dyDescent="0.6">
      <c r="A147" s="115" t="str">
        <f>'Hourly Budget'!A8</f>
        <v>Martinez Machain, Carla (AY)</v>
      </c>
      <c r="B147" s="107">
        <f>'Hourly Budget'!AV8</f>
        <v>0</v>
      </c>
      <c r="C147" s="108">
        <f>'Hourly Budget'!AY8</f>
        <v>113.73938093686156</v>
      </c>
      <c r="D147" s="108">
        <f>'Hourly Budget'!AZ8</f>
        <v>77.661249303689075</v>
      </c>
      <c r="E147" s="108">
        <f>'Hourly Budget'!BA8</f>
        <v>191.40063024055064</v>
      </c>
      <c r="F147" s="121">
        <f>'Hourly Budget'!BD8</f>
        <v>0</v>
      </c>
      <c r="G147" s="157">
        <f>E147*((1+Rates!F$13))</f>
        <v>308.1550146872865</v>
      </c>
      <c r="H147" s="157">
        <f>G147*B147</f>
        <v>0</v>
      </c>
    </row>
    <row r="148" spans="1:8" x14ac:dyDescent="0.6">
      <c r="A148" s="115" t="str">
        <f>'Hourly Budget'!A9</f>
        <v>Name (AY)</v>
      </c>
      <c r="B148" s="107">
        <f>'Hourly Budget'!AV9</f>
        <v>0</v>
      </c>
      <c r="C148" s="108">
        <f>'Hourly Budget'!AY9</f>
        <v>0</v>
      </c>
      <c r="D148" s="108">
        <f>'Hourly Budget'!AZ9</f>
        <v>0</v>
      </c>
      <c r="E148" s="108">
        <f>'Hourly Budget'!BA9</f>
        <v>0</v>
      </c>
      <c r="F148" s="121">
        <f>'Hourly Budget'!BD9</f>
        <v>0</v>
      </c>
      <c r="G148" s="157">
        <f>E148*((1+Rates!F$13))</f>
        <v>0</v>
      </c>
      <c r="H148" s="157">
        <f>G148*B148</f>
        <v>0</v>
      </c>
    </row>
    <row r="149" spans="1:8" x14ac:dyDescent="0.6">
      <c r="A149" s="115" t="str">
        <f>'Hourly Budget'!A10</f>
        <v>Name (AY)</v>
      </c>
      <c r="B149" s="107">
        <f>'Hourly Budget'!AV10</f>
        <v>0</v>
      </c>
      <c r="C149" s="108">
        <f>'Hourly Budget'!AY10</f>
        <v>0</v>
      </c>
      <c r="D149" s="108">
        <f>'Hourly Budget'!AZ10</f>
        <v>0</v>
      </c>
      <c r="E149" s="108">
        <f>'Hourly Budget'!BA10</f>
        <v>0</v>
      </c>
      <c r="F149" s="121">
        <f>'Hourly Budget'!BD10</f>
        <v>0</v>
      </c>
      <c r="G149" s="157">
        <f>E149*((1+Rates!F$13))</f>
        <v>0</v>
      </c>
      <c r="H149" s="157">
        <f>G149*B149</f>
        <v>0</v>
      </c>
    </row>
    <row r="150" spans="1:8" x14ac:dyDescent="0.6">
      <c r="A150" s="115" t="str">
        <f>'Hourly Budget'!A11</f>
        <v>Name (AY)</v>
      </c>
      <c r="B150" s="107">
        <f>'Hourly Budget'!AV11</f>
        <v>0</v>
      </c>
      <c r="C150" s="108">
        <f>'Hourly Budget'!AY11</f>
        <v>0</v>
      </c>
      <c r="D150" s="108">
        <f>'Hourly Budget'!AZ11</f>
        <v>0</v>
      </c>
      <c r="E150" s="108">
        <f>'Hourly Budget'!BA11</f>
        <v>0</v>
      </c>
      <c r="F150" s="121">
        <f>'Hourly Budget'!BD11</f>
        <v>0</v>
      </c>
      <c r="G150" s="157">
        <f>E150*((1+Rates!F$13))</f>
        <v>0</v>
      </c>
      <c r="H150" s="157">
        <f t="shared" ref="H150:H176" si="4">G150*B150</f>
        <v>0</v>
      </c>
    </row>
    <row r="151" spans="1:8" x14ac:dyDescent="0.6">
      <c r="A151" s="115" t="str">
        <f>'Hourly Budget'!A12</f>
        <v>Name (AY)</v>
      </c>
      <c r="B151" s="107">
        <f>'Hourly Budget'!AV12</f>
        <v>0</v>
      </c>
      <c r="C151" s="108">
        <f>'Hourly Budget'!AY12</f>
        <v>0</v>
      </c>
      <c r="D151" s="108">
        <f>'Hourly Budget'!AZ12</f>
        <v>0</v>
      </c>
      <c r="E151" s="108">
        <f>'Hourly Budget'!BA12</f>
        <v>0</v>
      </c>
      <c r="F151" s="121">
        <f>'Hourly Budget'!BD12</f>
        <v>0</v>
      </c>
      <c r="G151" s="157">
        <f>E151*((1+Rates!F$13))</f>
        <v>0</v>
      </c>
      <c r="H151" s="157">
        <f t="shared" si="4"/>
        <v>0</v>
      </c>
    </row>
    <row r="152" spans="1:8" x14ac:dyDescent="0.6">
      <c r="A152" s="115" t="str">
        <f>'Hourly Budget'!A13</f>
        <v>Name (CY)</v>
      </c>
      <c r="B152" s="107">
        <f>'Hourly Budget'!AV13</f>
        <v>0</v>
      </c>
      <c r="C152" s="108">
        <f>'Hourly Budget'!AY13</f>
        <v>0</v>
      </c>
      <c r="D152" s="108">
        <f>'Hourly Budget'!AZ13</f>
        <v>0</v>
      </c>
      <c r="E152" s="108">
        <f>'Hourly Budget'!BA13</f>
        <v>0</v>
      </c>
      <c r="F152" s="121">
        <f>'Hourly Budget'!BD13</f>
        <v>0</v>
      </c>
      <c r="G152" s="157">
        <f>E152*((1+Rates!F$13))</f>
        <v>0</v>
      </c>
      <c r="H152" s="157">
        <f t="shared" si="4"/>
        <v>0</v>
      </c>
    </row>
    <row r="153" spans="1:8" x14ac:dyDescent="0.6">
      <c r="A153" s="115" t="str">
        <f>'Hourly Budget'!A14</f>
        <v>Name (CY)</v>
      </c>
      <c r="B153" s="107">
        <f>'Hourly Budget'!AV14</f>
        <v>0</v>
      </c>
      <c r="C153" s="108">
        <f>'Hourly Budget'!AY14</f>
        <v>0</v>
      </c>
      <c r="D153" s="108">
        <f>'Hourly Budget'!AZ14</f>
        <v>0</v>
      </c>
      <c r="E153" s="108">
        <f>'Hourly Budget'!BA14</f>
        <v>0</v>
      </c>
      <c r="F153" s="121">
        <f>'Hourly Budget'!BD14</f>
        <v>0</v>
      </c>
      <c r="G153" s="157">
        <f>E153*((1+Rates!F$13))</f>
        <v>0</v>
      </c>
      <c r="H153" s="157">
        <f t="shared" si="4"/>
        <v>0</v>
      </c>
    </row>
    <row r="154" spans="1:8" x14ac:dyDescent="0.6">
      <c r="A154" s="115" t="str">
        <f>'Hourly Budget'!A15</f>
        <v>Name (CY)</v>
      </c>
      <c r="B154" s="107">
        <f>'Hourly Budget'!AV15</f>
        <v>0</v>
      </c>
      <c r="C154" s="108">
        <f>'Hourly Budget'!AY15</f>
        <v>0</v>
      </c>
      <c r="D154" s="108">
        <f>'Hourly Budget'!AZ15</f>
        <v>0</v>
      </c>
      <c r="E154" s="108">
        <f>'Hourly Budget'!BA15</f>
        <v>0</v>
      </c>
      <c r="F154" s="121">
        <f>'Hourly Budget'!BD15</f>
        <v>0</v>
      </c>
      <c r="G154" s="157">
        <f>E154*((1+Rates!F$13))</f>
        <v>0</v>
      </c>
      <c r="H154" s="157">
        <f t="shared" si="4"/>
        <v>0</v>
      </c>
    </row>
    <row r="155" spans="1:8" x14ac:dyDescent="0.6">
      <c r="A155" s="115" t="str">
        <f>'Hourly Budget'!A16</f>
        <v>Name (CY)</v>
      </c>
      <c r="B155" s="107">
        <f>'Hourly Budget'!AV16</f>
        <v>0</v>
      </c>
      <c r="C155" s="108">
        <f>'Hourly Budget'!AY16</f>
        <v>0</v>
      </c>
      <c r="D155" s="108">
        <f>'Hourly Budget'!AZ16</f>
        <v>0</v>
      </c>
      <c r="E155" s="108">
        <f>'Hourly Budget'!BA16</f>
        <v>0</v>
      </c>
      <c r="F155" s="121">
        <f>'Hourly Budget'!BD16</f>
        <v>0</v>
      </c>
      <c r="G155" s="157">
        <f>E155*((1+Rates!F$13))</f>
        <v>0</v>
      </c>
      <c r="H155" s="157">
        <f t="shared" si="4"/>
        <v>0</v>
      </c>
    </row>
    <row r="156" spans="1:8" x14ac:dyDescent="0.6">
      <c r="A156" s="115" t="str">
        <f>'Hourly Budget'!A17</f>
        <v>Name (CY)</v>
      </c>
      <c r="B156" s="107">
        <f>'Hourly Budget'!AV17</f>
        <v>0</v>
      </c>
      <c r="C156" s="108">
        <f>'Hourly Budget'!AY17</f>
        <v>0</v>
      </c>
      <c r="D156" s="108">
        <f>'Hourly Budget'!AZ17</f>
        <v>0</v>
      </c>
      <c r="E156" s="108">
        <f>'Hourly Budget'!BA17</f>
        <v>0</v>
      </c>
      <c r="F156" s="121">
        <f>'Hourly Budget'!BD17</f>
        <v>0</v>
      </c>
      <c r="G156" s="157">
        <f>E156*((1+Rates!F$13))</f>
        <v>0</v>
      </c>
      <c r="H156" s="157">
        <f t="shared" si="4"/>
        <v>0</v>
      </c>
    </row>
    <row r="157" spans="1:8" x14ac:dyDescent="0.6">
      <c r="A157" s="116" t="str">
        <f>'Hourly Budget'!A23</f>
        <v>Martinez Machain, Carla</v>
      </c>
      <c r="B157" s="113">
        <f>'Hourly Budget'!AV23</f>
        <v>0</v>
      </c>
      <c r="C157" s="114">
        <f>'Hourly Budget'!AY23</f>
        <v>110.42658343384613</v>
      </c>
      <c r="D157" s="114">
        <f>'Hourly Budget'!AZ23</f>
        <v>16.011854597907689</v>
      </c>
      <c r="E157" s="114">
        <f>'Hourly Budget'!BA23</f>
        <v>126.43843803175382</v>
      </c>
      <c r="F157" s="122">
        <f>'Hourly Budget'!BD23</f>
        <v>0</v>
      </c>
      <c r="G157" s="158">
        <f>E157*((1+Rates!F$13))</f>
        <v>203.56588523112364</v>
      </c>
      <c r="H157" s="158">
        <f t="shared" si="4"/>
        <v>0</v>
      </c>
    </row>
    <row r="158" spans="1:8" x14ac:dyDescent="0.6">
      <c r="A158" s="116" t="str">
        <f>'Hourly Budget'!A24</f>
        <v>Name</v>
      </c>
      <c r="B158" s="113">
        <f>'Hourly Budget'!AV24</f>
        <v>0</v>
      </c>
      <c r="C158" s="114">
        <f>'Hourly Budget'!AY24</f>
        <v>0</v>
      </c>
      <c r="D158" s="114">
        <f>'Hourly Budget'!AZ24</f>
        <v>0</v>
      </c>
      <c r="E158" s="114">
        <f>'Hourly Budget'!BA24</f>
        <v>0</v>
      </c>
      <c r="F158" s="122">
        <f>'Hourly Budget'!BD24</f>
        <v>0</v>
      </c>
      <c r="G158" s="158">
        <f>E158*((1+Rates!F$13))</f>
        <v>0</v>
      </c>
      <c r="H158" s="158">
        <f t="shared" si="4"/>
        <v>0</v>
      </c>
    </row>
    <row r="159" spans="1:8" x14ac:dyDescent="0.6">
      <c r="A159" s="116" t="str">
        <f>'Hourly Budget'!A25</f>
        <v>Name</v>
      </c>
      <c r="B159" s="113">
        <f>'Hourly Budget'!AV25</f>
        <v>0</v>
      </c>
      <c r="C159" s="114">
        <f>'Hourly Budget'!AY25</f>
        <v>0</v>
      </c>
      <c r="D159" s="114">
        <f>'Hourly Budget'!AZ25</f>
        <v>0</v>
      </c>
      <c r="E159" s="114">
        <f>'Hourly Budget'!BA25</f>
        <v>0</v>
      </c>
      <c r="F159" s="122">
        <f>'Hourly Budget'!BD25</f>
        <v>0</v>
      </c>
      <c r="G159" s="158">
        <f>E159*((1+Rates!F$13))</f>
        <v>0</v>
      </c>
      <c r="H159" s="158">
        <f t="shared" si="4"/>
        <v>0</v>
      </c>
    </row>
    <row r="160" spans="1:8" x14ac:dyDescent="0.6">
      <c r="A160" s="116" t="str">
        <f>'Hourly Budget'!A26</f>
        <v>Name</v>
      </c>
      <c r="B160" s="113">
        <f>'Hourly Budget'!AV26</f>
        <v>0</v>
      </c>
      <c r="C160" s="114">
        <f>'Hourly Budget'!AY26</f>
        <v>0</v>
      </c>
      <c r="D160" s="114">
        <f>'Hourly Budget'!AZ26</f>
        <v>0</v>
      </c>
      <c r="E160" s="114">
        <f>'Hourly Budget'!BA26</f>
        <v>0</v>
      </c>
      <c r="F160" s="122">
        <f>'Hourly Budget'!BD26</f>
        <v>0</v>
      </c>
      <c r="G160" s="158">
        <f>E160*((1+Rates!F$13))</f>
        <v>0</v>
      </c>
      <c r="H160" s="158">
        <f t="shared" si="4"/>
        <v>0</v>
      </c>
    </row>
    <row r="161" spans="1:8" x14ac:dyDescent="0.6">
      <c r="A161" s="116" t="str">
        <f>'Hourly Budget'!A27</f>
        <v>Name</v>
      </c>
      <c r="B161" s="113">
        <f>'Hourly Budget'!AV27</f>
        <v>0</v>
      </c>
      <c r="C161" s="114">
        <f>'Hourly Budget'!AY27</f>
        <v>0</v>
      </c>
      <c r="D161" s="114">
        <f>'Hourly Budget'!AZ27</f>
        <v>0</v>
      </c>
      <c r="E161" s="114">
        <f>'Hourly Budget'!BA27</f>
        <v>0</v>
      </c>
      <c r="F161" s="122">
        <f>'Hourly Budget'!BD27</f>
        <v>0</v>
      </c>
      <c r="G161" s="158">
        <f>E161*((1+Rates!F$13))</f>
        <v>0</v>
      </c>
      <c r="H161" s="158">
        <f t="shared" si="4"/>
        <v>0</v>
      </c>
    </row>
    <row r="162" spans="1:8" x14ac:dyDescent="0.6">
      <c r="A162" s="117" t="str">
        <f>'Hourly Budget'!A33</f>
        <v>Name</v>
      </c>
      <c r="B162" s="111">
        <f>'Hourly Budget'!AV33</f>
        <v>0</v>
      </c>
      <c r="C162" s="112">
        <f>'Hourly Budget'!AY33</f>
        <v>0</v>
      </c>
      <c r="D162" s="112">
        <f>'Hourly Budget'!AZ33</f>
        <v>0</v>
      </c>
      <c r="E162" s="112">
        <f>'Hourly Budget'!BA33</f>
        <v>0</v>
      </c>
      <c r="F162" s="123">
        <f>'Hourly Budget'!BD33</f>
        <v>0</v>
      </c>
      <c r="G162" s="159">
        <f>E162*((1+Rates!F$13))</f>
        <v>0</v>
      </c>
      <c r="H162" s="159">
        <f t="shared" si="4"/>
        <v>0</v>
      </c>
    </row>
    <row r="163" spans="1:8" x14ac:dyDescent="0.6">
      <c r="A163" s="117" t="str">
        <f>'Hourly Budget'!A34</f>
        <v>Name</v>
      </c>
      <c r="B163" s="111">
        <f>'Hourly Budget'!AV34</f>
        <v>0</v>
      </c>
      <c r="C163" s="112">
        <f>'Hourly Budget'!AY34</f>
        <v>0</v>
      </c>
      <c r="D163" s="112">
        <f>'Hourly Budget'!AZ34</f>
        <v>0</v>
      </c>
      <c r="E163" s="112">
        <f>'Hourly Budget'!BA34</f>
        <v>0</v>
      </c>
      <c r="F163" s="123">
        <f>'Hourly Budget'!BD34</f>
        <v>0</v>
      </c>
      <c r="G163" s="159">
        <f>E163*((1+Rates!F$13))</f>
        <v>0</v>
      </c>
      <c r="H163" s="159">
        <f t="shared" si="4"/>
        <v>0</v>
      </c>
    </row>
    <row r="164" spans="1:8" x14ac:dyDescent="0.6">
      <c r="A164" s="117" t="str">
        <f>'Hourly Budget'!A35</f>
        <v>Name</v>
      </c>
      <c r="B164" s="111">
        <f>'Hourly Budget'!AV35</f>
        <v>0</v>
      </c>
      <c r="C164" s="112">
        <f>'Hourly Budget'!AY35</f>
        <v>0</v>
      </c>
      <c r="D164" s="112">
        <f>'Hourly Budget'!AZ35</f>
        <v>0</v>
      </c>
      <c r="E164" s="112">
        <f>'Hourly Budget'!BA35</f>
        <v>0</v>
      </c>
      <c r="F164" s="123">
        <f>'Hourly Budget'!BD35</f>
        <v>0</v>
      </c>
      <c r="G164" s="159">
        <f>E164*((1+Rates!F$13))</f>
        <v>0</v>
      </c>
      <c r="H164" s="159">
        <f t="shared" si="4"/>
        <v>0</v>
      </c>
    </row>
    <row r="165" spans="1:8" x14ac:dyDescent="0.6">
      <c r="A165" s="118" t="str">
        <f>'Hourly Budget'!A41</f>
        <v>Name (CY)</v>
      </c>
      <c r="B165" s="109">
        <f>'Hourly Budget'!AV41</f>
        <v>0</v>
      </c>
      <c r="C165" s="110">
        <f>'Hourly Budget'!AY41</f>
        <v>0</v>
      </c>
      <c r="D165" s="110">
        <f>'Hourly Budget'!AZ41</f>
        <v>0</v>
      </c>
      <c r="E165" s="110">
        <f>'Hourly Budget'!BA41</f>
        <v>0</v>
      </c>
      <c r="F165" s="124">
        <f>'Hourly Budget'!BD41</f>
        <v>0</v>
      </c>
      <c r="G165" s="160">
        <f>E165*((1+Rates!F$13))</f>
        <v>0</v>
      </c>
      <c r="H165" s="160">
        <f t="shared" si="4"/>
        <v>0</v>
      </c>
    </row>
    <row r="166" spans="1:8" x14ac:dyDescent="0.6">
      <c r="A166" s="118" t="str">
        <f>'Hourly Budget'!A42</f>
        <v>Name (CY)</v>
      </c>
      <c r="B166" s="109">
        <f>'Hourly Budget'!AV42</f>
        <v>0</v>
      </c>
      <c r="C166" s="110">
        <f>'Hourly Budget'!AY42</f>
        <v>0</v>
      </c>
      <c r="D166" s="110">
        <f>'Hourly Budget'!AZ42</f>
        <v>0</v>
      </c>
      <c r="E166" s="110">
        <f>'Hourly Budget'!BA42</f>
        <v>0</v>
      </c>
      <c r="F166" s="124">
        <f>'Hourly Budget'!BD42</f>
        <v>0</v>
      </c>
      <c r="G166" s="160">
        <f>E166*((1+Rates!F$13))</f>
        <v>0</v>
      </c>
      <c r="H166" s="160">
        <f t="shared" si="4"/>
        <v>0</v>
      </c>
    </row>
    <row r="167" spans="1:8" x14ac:dyDescent="0.6">
      <c r="A167" s="118" t="str">
        <f>'Hourly Budget'!A43</f>
        <v>Name (CY)</v>
      </c>
      <c r="B167" s="109">
        <f>'Hourly Budget'!AV43</f>
        <v>0</v>
      </c>
      <c r="C167" s="110">
        <f>'Hourly Budget'!AY43</f>
        <v>0</v>
      </c>
      <c r="D167" s="110">
        <f>'Hourly Budget'!AZ43</f>
        <v>0</v>
      </c>
      <c r="E167" s="110">
        <f>'Hourly Budget'!BA43</f>
        <v>0</v>
      </c>
      <c r="F167" s="124">
        <f>'Hourly Budget'!BD43</f>
        <v>0</v>
      </c>
      <c r="G167" s="160">
        <f>E167*((1+Rates!F$13))</f>
        <v>0</v>
      </c>
      <c r="H167" s="160">
        <f t="shared" si="4"/>
        <v>0</v>
      </c>
    </row>
    <row r="168" spans="1:8" x14ac:dyDescent="0.6">
      <c r="A168" s="118" t="str">
        <f>'Hourly Budget'!A44</f>
        <v>Name (AY)</v>
      </c>
      <c r="B168" s="109">
        <f>'Hourly Budget'!AV44</f>
        <v>0</v>
      </c>
      <c r="C168" s="110">
        <f>'Hourly Budget'!AY44</f>
        <v>0</v>
      </c>
      <c r="D168" s="110">
        <f>'Hourly Budget'!AZ44</f>
        <v>0</v>
      </c>
      <c r="E168" s="110">
        <f>'Hourly Budget'!BA44</f>
        <v>0</v>
      </c>
      <c r="F168" s="124">
        <f>'Hourly Budget'!BD44</f>
        <v>0</v>
      </c>
      <c r="G168" s="160">
        <f>E168*((1+Rates!F$13))</f>
        <v>0</v>
      </c>
      <c r="H168" s="160">
        <f t="shared" si="4"/>
        <v>0</v>
      </c>
    </row>
    <row r="169" spans="1:8" x14ac:dyDescent="0.6">
      <c r="A169" s="118" t="str">
        <f>'Hourly Budget'!A45</f>
        <v>Name (AY)</v>
      </c>
      <c r="B169" s="109">
        <f>'Hourly Budget'!AV45</f>
        <v>0</v>
      </c>
      <c r="C169" s="110">
        <f>'Hourly Budget'!AY45</f>
        <v>0</v>
      </c>
      <c r="D169" s="110">
        <f>'Hourly Budget'!AZ45</f>
        <v>0</v>
      </c>
      <c r="E169" s="110">
        <f>'Hourly Budget'!BA45</f>
        <v>0</v>
      </c>
      <c r="F169" s="124">
        <f>'Hourly Budget'!BD45</f>
        <v>0</v>
      </c>
      <c r="G169" s="160">
        <f>E169*((1+Rates!F$13))</f>
        <v>0</v>
      </c>
      <c r="H169" s="160">
        <f t="shared" si="4"/>
        <v>0</v>
      </c>
    </row>
    <row r="170" spans="1:8" x14ac:dyDescent="0.6">
      <c r="A170" s="118" t="str">
        <f>'Hourly Budget'!A46</f>
        <v>Name (AY)</v>
      </c>
      <c r="B170" s="109">
        <f>'Hourly Budget'!AV46</f>
        <v>0</v>
      </c>
      <c r="C170" s="110">
        <f>'Hourly Budget'!AY46</f>
        <v>0</v>
      </c>
      <c r="D170" s="110">
        <f>'Hourly Budget'!AZ46</f>
        <v>0</v>
      </c>
      <c r="E170" s="110">
        <f>'Hourly Budget'!BA46</f>
        <v>0</v>
      </c>
      <c r="F170" s="124">
        <f>'Hourly Budget'!BD46</f>
        <v>0</v>
      </c>
      <c r="G170" s="160">
        <f>E170*((1+Rates!F$13))</f>
        <v>0</v>
      </c>
      <c r="H170" s="160">
        <f t="shared" si="4"/>
        <v>0</v>
      </c>
    </row>
    <row r="171" spans="1:8" x14ac:dyDescent="0.6">
      <c r="A171" s="118" t="str">
        <f>'Hourly Budget'!A47</f>
        <v>Name (Summer)</v>
      </c>
      <c r="B171" s="109">
        <f>'Hourly Budget'!AV47</f>
        <v>0</v>
      </c>
      <c r="C171" s="110">
        <f>'Hourly Budget'!AY47</f>
        <v>0</v>
      </c>
      <c r="D171" s="110">
        <f>'Hourly Budget'!AZ47</f>
        <v>0</v>
      </c>
      <c r="E171" s="110">
        <f>'Hourly Budget'!BA47</f>
        <v>0</v>
      </c>
      <c r="F171" s="124">
        <f>'Hourly Budget'!BD47</f>
        <v>0</v>
      </c>
      <c r="G171" s="160">
        <f>E171*((1+Rates!F$13))</f>
        <v>0</v>
      </c>
      <c r="H171" s="160">
        <f t="shared" si="4"/>
        <v>0</v>
      </c>
    </row>
    <row r="172" spans="1:8" x14ac:dyDescent="0.6">
      <c r="A172" s="118" t="str">
        <f>'Hourly Budget'!A48</f>
        <v>Name (Summer)</v>
      </c>
      <c r="B172" s="109">
        <f>'Hourly Budget'!AV48</f>
        <v>0</v>
      </c>
      <c r="C172" s="110">
        <f>'Hourly Budget'!AY48</f>
        <v>0</v>
      </c>
      <c r="D172" s="110">
        <f>'Hourly Budget'!AZ48</f>
        <v>0</v>
      </c>
      <c r="E172" s="110">
        <f>'Hourly Budget'!BA48</f>
        <v>0</v>
      </c>
      <c r="F172" s="124">
        <f>'Hourly Budget'!BD48</f>
        <v>0</v>
      </c>
      <c r="G172" s="160">
        <f>E172*((1+Rates!F$13))</f>
        <v>0</v>
      </c>
      <c r="H172" s="160">
        <f t="shared" si="4"/>
        <v>0</v>
      </c>
    </row>
    <row r="173" spans="1:8" x14ac:dyDescent="0.6">
      <c r="A173" s="118" t="str">
        <f>'Hourly Budget'!A49</f>
        <v>Name (Summer)</v>
      </c>
      <c r="B173" s="109">
        <f>'Hourly Budget'!AV49</f>
        <v>0</v>
      </c>
      <c r="C173" s="110">
        <f>'Hourly Budget'!AY49</f>
        <v>0</v>
      </c>
      <c r="D173" s="110">
        <f>'Hourly Budget'!AZ49</f>
        <v>0</v>
      </c>
      <c r="E173" s="110">
        <f>'Hourly Budget'!BA49</f>
        <v>0</v>
      </c>
      <c r="F173" s="124">
        <f>'Hourly Budget'!BD49</f>
        <v>0</v>
      </c>
      <c r="G173" s="160">
        <f>E173*((1+Rates!F$13))</f>
        <v>0</v>
      </c>
      <c r="H173" s="160">
        <f t="shared" si="4"/>
        <v>0</v>
      </c>
    </row>
    <row r="174" spans="1:8" x14ac:dyDescent="0.6">
      <c r="A174" s="69" t="str">
        <f>'Hourly Budget'!A55</f>
        <v>TBN Undergraduate *Hourly</v>
      </c>
      <c r="B174" s="71">
        <f>'Hourly Budget'!AV55</f>
        <v>0</v>
      </c>
      <c r="C174" s="101">
        <f>'Hourly Budget'!AY55</f>
        <v>0</v>
      </c>
      <c r="D174" s="101">
        <f>'Hourly Budget'!AZ55</f>
        <v>0</v>
      </c>
      <c r="E174" s="101">
        <f>'Hourly Budget'!BA55</f>
        <v>0</v>
      </c>
      <c r="F174" s="125">
        <f>'Hourly Budget'!BD55</f>
        <v>0</v>
      </c>
      <c r="G174" s="161">
        <f>E174*((1+Rates!F$13))</f>
        <v>0</v>
      </c>
      <c r="H174" s="161">
        <f t="shared" si="4"/>
        <v>0</v>
      </c>
    </row>
    <row r="175" spans="1:8" x14ac:dyDescent="0.6">
      <c r="A175" s="69" t="str">
        <f>'Hourly Budget'!A56</f>
        <v>Name</v>
      </c>
      <c r="B175" s="71">
        <f>'Hourly Budget'!AV56</f>
        <v>0</v>
      </c>
      <c r="C175" s="101">
        <f>'Hourly Budget'!AY56</f>
        <v>0</v>
      </c>
      <c r="D175" s="101">
        <f>'Hourly Budget'!AZ56</f>
        <v>0</v>
      </c>
      <c r="E175" s="101">
        <f>'Hourly Budget'!BA56</f>
        <v>0</v>
      </c>
      <c r="F175" s="125">
        <f>'Hourly Budget'!BD56</f>
        <v>0</v>
      </c>
      <c r="G175" s="161">
        <f>E175*((1+Rates!F$13))</f>
        <v>0</v>
      </c>
      <c r="H175" s="161">
        <f t="shared" si="4"/>
        <v>0</v>
      </c>
    </row>
    <row r="176" spans="1:8" x14ac:dyDescent="0.6">
      <c r="A176" s="69" t="str">
        <f>'Hourly Budget'!A57</f>
        <v>Name</v>
      </c>
      <c r="B176" s="71">
        <f>'Hourly Budget'!AV57</f>
        <v>0</v>
      </c>
      <c r="C176" s="101">
        <f>'Hourly Budget'!AY57</f>
        <v>0</v>
      </c>
      <c r="D176" s="101">
        <f>'Hourly Budget'!AZ57</f>
        <v>0</v>
      </c>
      <c r="E176" s="101">
        <f>'Hourly Budget'!BA57</f>
        <v>0</v>
      </c>
      <c r="F176" s="125">
        <f>'Hourly Budget'!BD57</f>
        <v>0</v>
      </c>
      <c r="G176" s="161">
        <f>E176*((1+Rates!F$13))</f>
        <v>0</v>
      </c>
      <c r="H176" s="161">
        <f t="shared" si="4"/>
        <v>0</v>
      </c>
    </row>
    <row r="177" spans="1:58" x14ac:dyDescent="0.6">
      <c r="A177" s="175" t="str">
        <f>'Hourly Budget'!A63</f>
        <v>Name</v>
      </c>
      <c r="B177" s="176">
        <f>'Hourly Budget'!AV63</f>
        <v>0</v>
      </c>
      <c r="C177" s="177">
        <f>'Hourly Budget'!AY63</f>
        <v>0</v>
      </c>
      <c r="D177" s="177">
        <f>'Hourly Budget'!AZ63</f>
        <v>0</v>
      </c>
      <c r="E177" s="177">
        <f>'Hourly Budget'!BA63</f>
        <v>0</v>
      </c>
      <c r="F177" s="178">
        <f>'Hourly Budget'!BD63</f>
        <v>0</v>
      </c>
      <c r="G177" s="179">
        <f>E177*((1+Rates!F$13))</f>
        <v>0</v>
      </c>
      <c r="H177" s="179">
        <f>G177*B177</f>
        <v>0</v>
      </c>
    </row>
    <row r="178" spans="1:58" x14ac:dyDescent="0.6">
      <c r="A178" s="175" t="str">
        <f>'Hourly Budget'!A64</f>
        <v>Name</v>
      </c>
      <c r="B178" s="176">
        <f>'Hourly Budget'!AV64</f>
        <v>0</v>
      </c>
      <c r="C178" s="177">
        <f>'Hourly Budget'!AY64</f>
        <v>0</v>
      </c>
      <c r="D178" s="177">
        <f>'Hourly Budget'!AZ64</f>
        <v>0</v>
      </c>
      <c r="E178" s="177">
        <f>'Hourly Budget'!BA64</f>
        <v>0</v>
      </c>
      <c r="F178" s="178">
        <f>'Hourly Budget'!BD64</f>
        <v>0</v>
      </c>
      <c r="G178" s="179">
        <f>E178*((1+Rates!F$13))</f>
        <v>0</v>
      </c>
      <c r="H178" s="179">
        <f>G178*B178</f>
        <v>0</v>
      </c>
    </row>
    <row r="179" spans="1:58" x14ac:dyDescent="0.6">
      <c r="A179" s="175" t="str">
        <f>'Hourly Budget'!A65</f>
        <v>Name</v>
      </c>
      <c r="B179" s="176">
        <f>'Hourly Budget'!AV65</f>
        <v>0</v>
      </c>
      <c r="C179" s="177">
        <f>'Hourly Budget'!AY65</f>
        <v>0</v>
      </c>
      <c r="D179" s="177">
        <f>'Hourly Budget'!AZ65</f>
        <v>0</v>
      </c>
      <c r="E179" s="177">
        <f>'Hourly Budget'!BA65</f>
        <v>0</v>
      </c>
      <c r="F179" s="178">
        <f>'Hourly Budget'!BD65</f>
        <v>0</v>
      </c>
      <c r="G179" s="179">
        <f>E179*((1+Rates!F$13))</f>
        <v>0</v>
      </c>
      <c r="H179" s="179">
        <f>G179*B179</f>
        <v>0</v>
      </c>
    </row>
    <row r="180" spans="1:58" x14ac:dyDescent="0.6">
      <c r="E180" s="100" t="s">
        <v>2</v>
      </c>
      <c r="F180" s="100">
        <f>SUM(F147:F179)</f>
        <v>0</v>
      </c>
      <c r="H180" s="162">
        <f>SUM(H147:H179)</f>
        <v>0</v>
      </c>
    </row>
    <row r="182" spans="1:58" ht="13.75" thickBot="1" x14ac:dyDescent="0.75"/>
    <row r="183" spans="1:58" ht="120.75" customHeight="1" thickBot="1" x14ac:dyDescent="0.75">
      <c r="A183" s="249" t="s">
        <v>43</v>
      </c>
      <c r="B183" s="250"/>
      <c r="C183" s="250"/>
      <c r="D183" s="251"/>
      <c r="E183" s="106"/>
      <c r="F183" s="106"/>
      <c r="H183" s="93"/>
      <c r="I183" s="4"/>
      <c r="J183" s="4"/>
      <c r="K183" s="4"/>
      <c r="L183" s="12"/>
      <c r="M183" s="11"/>
      <c r="N183" s="58"/>
      <c r="O183" s="4"/>
      <c r="P183" s="93"/>
      <c r="Q183" s="93"/>
      <c r="R183" s="93"/>
      <c r="S183" s="4"/>
      <c r="T183" s="4"/>
      <c r="U183" s="4"/>
      <c r="V183" s="4"/>
      <c r="W183" s="12"/>
      <c r="X183" s="11"/>
      <c r="Y183" s="58"/>
      <c r="Z183" s="4"/>
      <c r="AA183" s="93"/>
      <c r="AB183" s="93"/>
      <c r="AC183" s="93"/>
      <c r="AD183" s="4"/>
      <c r="AE183" s="4"/>
      <c r="AF183" s="4"/>
      <c r="AG183" s="4"/>
      <c r="AH183" s="12"/>
      <c r="AI183" s="11"/>
      <c r="AJ183" s="58"/>
      <c r="AK183" s="4"/>
      <c r="AL183" s="93"/>
      <c r="AM183" s="93"/>
      <c r="AN183" s="93"/>
      <c r="AO183" s="4"/>
      <c r="AP183" s="4"/>
      <c r="AQ183" s="4"/>
      <c r="AR183" s="4"/>
      <c r="AS183" s="12"/>
      <c r="AT183" s="11"/>
      <c r="AU183" s="58"/>
      <c r="AV183" s="4"/>
      <c r="AW183" s="93"/>
      <c r="AX183" s="93"/>
      <c r="AY183" s="93"/>
      <c r="AZ183" s="4"/>
      <c r="BA183" s="4"/>
      <c r="BB183" s="4"/>
      <c r="BC183" s="4"/>
      <c r="BD183" s="5"/>
      <c r="BE183" s="4"/>
      <c r="BF183" s="10"/>
    </row>
  </sheetData>
  <mergeCells count="1">
    <mergeCell ref="A183:D183"/>
  </mergeCells>
  <pageMargins left="0.7" right="0.7" top="0.75" bottom="0.75" header="0.3" footer="0.3"/>
  <pageSetup orientation="portrait" r:id="rId1"/>
  <headerFooter>
    <oddHeader>&amp;L&amp;F&amp;C&amp;A</oddHead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rgb="FFFFC000"/>
  </sheetPr>
  <dimension ref="A1:BS91"/>
  <sheetViews>
    <sheetView topLeftCell="A31" zoomScale="90" zoomScaleNormal="90" workbookViewId="0">
      <selection activeCell="BN64" sqref="BN64:BN65"/>
    </sheetView>
  </sheetViews>
  <sheetFormatPr defaultRowHeight="13" x14ac:dyDescent="0.6"/>
  <cols>
    <col min="1" max="1" width="18.26953125" customWidth="1"/>
    <col min="2" max="2" width="16.54296875" customWidth="1"/>
    <col min="3" max="4" width="10.7265625" style="11" customWidth="1"/>
    <col min="5" max="5" width="10.7265625" style="78" customWidth="1"/>
    <col min="6" max="6" width="13.54296875" style="4" customWidth="1"/>
    <col min="7" max="8" width="12.26953125" style="93" hidden="1" customWidth="1"/>
    <col min="9" max="9" width="16.26953125" style="93" hidden="1" customWidth="1"/>
    <col min="10" max="12" width="10.7265625" style="4" hidden="1" customWidth="1"/>
    <col min="13" max="14" width="10.7265625" style="4" customWidth="1"/>
    <col min="15" max="15" width="1.40625" style="4" customWidth="1"/>
    <col min="16" max="16" width="10.7265625" style="12" customWidth="1"/>
    <col min="17" max="17" width="10.7265625" style="11" customWidth="1"/>
    <col min="18" max="18" width="10.7265625" style="58" customWidth="1"/>
    <col min="19" max="19" width="10.7265625" style="4" customWidth="1"/>
    <col min="20" max="21" width="10.7265625" style="93" hidden="1" customWidth="1"/>
    <col min="22" max="22" width="16.7265625" style="93" hidden="1" customWidth="1"/>
    <col min="23" max="25" width="10.7265625" style="4" hidden="1" customWidth="1"/>
    <col min="26" max="27" width="10.7265625" style="4" customWidth="1"/>
    <col min="28" max="28" width="1.40625" style="4" customWidth="1"/>
    <col min="29" max="29" width="10.7265625" style="12" customWidth="1"/>
    <col min="30" max="30" width="10.7265625" style="11" customWidth="1"/>
    <col min="31" max="31" width="10.7265625" style="58" customWidth="1"/>
    <col min="32" max="32" width="10.7265625" style="4" customWidth="1"/>
    <col min="33" max="34" width="10.7265625" style="93" hidden="1" customWidth="1"/>
    <col min="35" max="35" width="17.40625" style="93" hidden="1" customWidth="1"/>
    <col min="36" max="38" width="10.7265625" style="4" hidden="1" customWidth="1"/>
    <col min="39" max="40" width="10.7265625" style="4" customWidth="1"/>
    <col min="41" max="41" width="1.40625" style="4" customWidth="1"/>
    <col min="42" max="42" width="10.7265625" style="12" customWidth="1"/>
    <col min="43" max="43" width="10.7265625" style="11" customWidth="1"/>
    <col min="44" max="44" width="10.7265625" style="58" customWidth="1"/>
    <col min="45" max="45" width="10.7265625" style="4" customWidth="1"/>
    <col min="46" max="47" width="10.7265625" style="93" hidden="1" customWidth="1"/>
    <col min="48" max="48" width="19" style="93" hidden="1" customWidth="1"/>
    <col min="49" max="51" width="10.7265625" style="4" hidden="1" customWidth="1"/>
    <col min="52" max="53" width="10.7265625" style="4" customWidth="1"/>
    <col min="54" max="54" width="1.40625" style="4" customWidth="1"/>
    <col min="55" max="55" width="10.7265625" style="12" customWidth="1"/>
    <col min="56" max="56" width="10.7265625" style="11" customWidth="1"/>
    <col min="57" max="57" width="10.7265625" style="58" customWidth="1"/>
    <col min="58" max="58" width="10.7265625" style="4" customWidth="1"/>
    <col min="59" max="60" width="10.7265625" style="93" hidden="1" customWidth="1"/>
    <col min="61" max="61" width="20.26953125" style="93" hidden="1" customWidth="1"/>
    <col min="62" max="64" width="10.7265625" style="4" hidden="1" customWidth="1"/>
    <col min="65" max="66" width="10.7265625" style="4" customWidth="1"/>
    <col min="67" max="67" width="1.40625" style="4" customWidth="1"/>
    <col min="68" max="68" width="10.7265625" style="5" customWidth="1"/>
    <col min="69" max="69" width="14" style="4" bestFit="1" customWidth="1"/>
    <col min="70" max="70" width="10.26953125" style="10" bestFit="1" customWidth="1"/>
    <col min="71" max="71" width="14" hidden="1" customWidth="1"/>
  </cols>
  <sheetData>
    <row r="1" spans="1:71" s="2" customFormat="1" ht="15.5" x14ac:dyDescent="0.7">
      <c r="A1" s="2" t="s">
        <v>18</v>
      </c>
      <c r="B1" s="223"/>
      <c r="C1" s="223"/>
      <c r="D1" s="223"/>
      <c r="E1" s="223"/>
      <c r="F1" s="223"/>
      <c r="G1" s="92"/>
      <c r="H1" s="92"/>
      <c r="I1" s="92"/>
      <c r="J1" s="3"/>
      <c r="K1" s="3"/>
      <c r="L1" s="3"/>
      <c r="M1" s="3"/>
      <c r="N1" s="3"/>
      <c r="O1" s="3"/>
      <c r="P1" s="13"/>
      <c r="Q1" s="13"/>
      <c r="R1" s="87"/>
      <c r="S1" s="3"/>
      <c r="T1" s="92"/>
      <c r="U1" s="92"/>
      <c r="V1" s="92"/>
      <c r="W1" s="3"/>
      <c r="X1" s="3"/>
      <c r="Y1" s="3"/>
      <c r="Z1" s="3"/>
      <c r="AA1" s="3"/>
      <c r="AB1" s="3"/>
      <c r="AC1" s="13"/>
      <c r="AD1" s="13"/>
      <c r="AE1" s="87"/>
      <c r="AF1" s="3"/>
      <c r="AG1" s="92"/>
      <c r="AH1" s="92"/>
      <c r="AI1" s="92"/>
      <c r="AJ1" s="3"/>
      <c r="AK1" s="3"/>
      <c r="AL1" s="3"/>
      <c r="AM1" s="3"/>
      <c r="AN1" s="3"/>
      <c r="AO1" s="3"/>
      <c r="AP1" s="13"/>
      <c r="AQ1" s="13"/>
      <c r="AR1" s="87"/>
      <c r="AS1" s="3"/>
      <c r="AT1" s="92"/>
      <c r="AU1" s="92"/>
      <c r="AV1" s="92"/>
      <c r="AW1" s="3"/>
      <c r="AX1" s="3"/>
      <c r="AY1" s="3"/>
      <c r="AZ1" s="3"/>
      <c r="BA1" s="3"/>
      <c r="BB1" s="3"/>
      <c r="BC1" s="13"/>
      <c r="BD1" s="13"/>
      <c r="BE1" s="87"/>
      <c r="BF1" s="3"/>
      <c r="BG1" s="92"/>
      <c r="BH1" s="92"/>
      <c r="BI1" s="92"/>
      <c r="BJ1" s="3"/>
      <c r="BK1" s="3"/>
      <c r="BL1" s="3"/>
      <c r="BM1" s="3"/>
      <c r="BN1" s="3"/>
      <c r="BO1" s="3"/>
      <c r="BP1" s="3"/>
      <c r="BQ1" s="3"/>
      <c r="BR1" s="9"/>
    </row>
    <row r="2" spans="1:71" ht="15.5" x14ac:dyDescent="0.7">
      <c r="A2" s="2" t="s">
        <v>19</v>
      </c>
      <c r="B2" s="223"/>
      <c r="C2" s="223"/>
      <c r="D2" s="223"/>
      <c r="E2" s="223"/>
      <c r="F2" s="223"/>
      <c r="G2" s="92"/>
      <c r="H2" s="92"/>
      <c r="I2" s="92"/>
      <c r="J2"/>
      <c r="K2"/>
      <c r="L2"/>
      <c r="M2"/>
      <c r="N2"/>
      <c r="O2"/>
      <c r="P2"/>
      <c r="Q2"/>
      <c r="R2" s="88"/>
      <c r="S2"/>
      <c r="T2" s="92"/>
      <c r="U2" s="92"/>
      <c r="V2" s="92"/>
      <c r="W2"/>
      <c r="X2"/>
      <c r="Y2"/>
      <c r="Z2"/>
      <c r="AA2"/>
      <c r="AB2"/>
      <c r="AC2"/>
      <c r="AD2"/>
      <c r="AE2" s="88"/>
      <c r="AF2"/>
      <c r="AG2" s="92"/>
      <c r="AH2" s="92"/>
      <c r="AI2" s="92"/>
      <c r="AJ2"/>
      <c r="AK2"/>
      <c r="AL2"/>
      <c r="AM2"/>
      <c r="AN2"/>
      <c r="AO2"/>
      <c r="AP2"/>
      <c r="AQ2"/>
      <c r="AR2" s="88"/>
      <c r="AS2"/>
      <c r="AT2" s="92"/>
      <c r="AU2" s="92"/>
      <c r="AV2" s="92"/>
      <c r="AW2"/>
      <c r="AX2"/>
      <c r="AY2"/>
      <c r="AZ2"/>
      <c r="BA2"/>
      <c r="BB2"/>
      <c r="BC2"/>
      <c r="BD2"/>
      <c r="BE2" s="88"/>
      <c r="BF2"/>
      <c r="BG2" s="92"/>
      <c r="BH2" s="92"/>
      <c r="BI2" s="92"/>
      <c r="BJ2"/>
      <c r="BK2"/>
      <c r="BL2"/>
      <c r="BM2"/>
      <c r="BN2"/>
      <c r="BO2"/>
      <c r="BP2"/>
      <c r="BQ2"/>
      <c r="BR2"/>
    </row>
    <row r="3" spans="1:71" ht="15.5" x14ac:dyDescent="0.7">
      <c r="A3" s="2" t="s">
        <v>32</v>
      </c>
      <c r="B3" s="235"/>
      <c r="C3" s="235"/>
      <c r="D3" s="235"/>
      <c r="E3" s="235"/>
      <c r="F3" s="235"/>
      <c r="G3" s="92"/>
      <c r="H3" s="92"/>
      <c r="I3" s="92"/>
      <c r="Q3" s="12"/>
      <c r="T3" s="92"/>
      <c r="U3" s="92"/>
      <c r="V3" s="92"/>
      <c r="AD3" s="12"/>
      <c r="AG3" s="92"/>
      <c r="AH3" s="92"/>
      <c r="AI3" s="92"/>
      <c r="AQ3" s="12"/>
      <c r="AT3" s="92"/>
      <c r="AU3" s="92"/>
      <c r="AV3" s="92"/>
      <c r="BD3" s="12"/>
      <c r="BG3" s="92"/>
      <c r="BH3" s="92"/>
      <c r="BI3" s="92"/>
    </row>
    <row r="4" spans="1:71" ht="13.75" thickBot="1" x14ac:dyDescent="0.75">
      <c r="A4" s="1"/>
      <c r="B4" s="17"/>
    </row>
    <row r="5" spans="1:71" ht="15" customHeight="1" x14ac:dyDescent="0.6">
      <c r="A5" s="30"/>
      <c r="B5" s="31"/>
      <c r="C5" s="238" t="s">
        <v>10</v>
      </c>
      <c r="D5" s="238"/>
      <c r="E5" s="238"/>
      <c r="F5" s="238"/>
      <c r="G5" s="238"/>
      <c r="H5" s="238"/>
      <c r="I5" s="238"/>
      <c r="J5" s="238"/>
      <c r="K5" s="61"/>
      <c r="L5" s="61"/>
      <c r="M5" s="61"/>
      <c r="N5" s="61"/>
      <c r="O5" s="32"/>
      <c r="P5" s="234" t="s">
        <v>11</v>
      </c>
      <c r="Q5" s="234"/>
      <c r="R5" s="234"/>
      <c r="S5" s="234"/>
      <c r="T5" s="234"/>
      <c r="U5" s="94"/>
      <c r="V5" s="94"/>
      <c r="W5" s="33"/>
      <c r="X5" s="61"/>
      <c r="Y5" s="61"/>
      <c r="Z5" s="61"/>
      <c r="AA5" s="61"/>
      <c r="AB5" s="34"/>
      <c r="AC5" s="234" t="s">
        <v>12</v>
      </c>
      <c r="AD5" s="234"/>
      <c r="AE5" s="234"/>
      <c r="AF5" s="234"/>
      <c r="AG5" s="234"/>
      <c r="AH5" s="94"/>
      <c r="AI5" s="94"/>
      <c r="AJ5" s="33"/>
      <c r="AK5" s="61"/>
      <c r="AL5" s="61"/>
      <c r="AM5" s="61"/>
      <c r="AN5" s="61"/>
      <c r="AO5" s="34"/>
      <c r="AP5" s="234" t="s">
        <v>13</v>
      </c>
      <c r="AQ5" s="234"/>
      <c r="AR5" s="234"/>
      <c r="AS5" s="234"/>
      <c r="AT5" s="234"/>
      <c r="AU5" s="94"/>
      <c r="AV5" s="94"/>
      <c r="AW5" s="33"/>
      <c r="AX5" s="61"/>
      <c r="AY5" s="61"/>
      <c r="AZ5" s="61"/>
      <c r="BA5" s="61"/>
      <c r="BB5" s="34"/>
      <c r="BC5" s="234" t="s">
        <v>14</v>
      </c>
      <c r="BD5" s="234"/>
      <c r="BE5" s="234"/>
      <c r="BF5" s="234"/>
      <c r="BG5" s="234"/>
      <c r="BH5" s="94"/>
      <c r="BI5" s="94"/>
      <c r="BJ5" s="33"/>
      <c r="BK5" s="61"/>
      <c r="BL5" s="61"/>
      <c r="BM5" s="61"/>
      <c r="BN5" s="61"/>
      <c r="BO5" s="60"/>
      <c r="BP5" s="35"/>
    </row>
    <row r="6" spans="1:71" s="14" customFormat="1" ht="39" x14ac:dyDescent="0.6">
      <c r="A6" s="228"/>
      <c r="B6" s="229"/>
      <c r="C6" s="74" t="s">
        <v>17</v>
      </c>
      <c r="D6" s="74" t="s">
        <v>37</v>
      </c>
      <c r="E6" s="79" t="s">
        <v>46</v>
      </c>
      <c r="F6" s="75" t="s">
        <v>16</v>
      </c>
      <c r="G6" s="95" t="s">
        <v>38</v>
      </c>
      <c r="H6" s="95" t="s">
        <v>39</v>
      </c>
      <c r="I6" s="95" t="s">
        <v>40</v>
      </c>
      <c r="J6" s="75" t="s">
        <v>41</v>
      </c>
      <c r="K6" s="75" t="s">
        <v>47</v>
      </c>
      <c r="L6" s="75" t="s">
        <v>42</v>
      </c>
      <c r="M6" s="75" t="s">
        <v>60</v>
      </c>
      <c r="N6" s="75" t="s">
        <v>61</v>
      </c>
      <c r="O6" s="38"/>
      <c r="P6" s="76" t="s">
        <v>17</v>
      </c>
      <c r="Q6" s="74" t="s">
        <v>37</v>
      </c>
      <c r="R6" s="79" t="s">
        <v>46</v>
      </c>
      <c r="S6" s="75" t="s">
        <v>16</v>
      </c>
      <c r="T6" s="95" t="s">
        <v>38</v>
      </c>
      <c r="U6" s="95" t="s">
        <v>39</v>
      </c>
      <c r="V6" s="95" t="s">
        <v>40</v>
      </c>
      <c r="W6" s="75" t="s">
        <v>41</v>
      </c>
      <c r="X6" s="75" t="s">
        <v>47</v>
      </c>
      <c r="Y6" s="75" t="s">
        <v>42</v>
      </c>
      <c r="Z6" s="75" t="s">
        <v>55</v>
      </c>
      <c r="AA6" s="75" t="s">
        <v>61</v>
      </c>
      <c r="AB6" s="38"/>
      <c r="AC6" s="76" t="s">
        <v>17</v>
      </c>
      <c r="AD6" s="74" t="s">
        <v>37</v>
      </c>
      <c r="AE6" s="79" t="s">
        <v>46</v>
      </c>
      <c r="AF6" s="75" t="s">
        <v>16</v>
      </c>
      <c r="AG6" s="95" t="s">
        <v>38</v>
      </c>
      <c r="AH6" s="95" t="s">
        <v>39</v>
      </c>
      <c r="AI6" s="95" t="s">
        <v>40</v>
      </c>
      <c r="AJ6" s="75" t="s">
        <v>41</v>
      </c>
      <c r="AK6" s="75" t="s">
        <v>47</v>
      </c>
      <c r="AL6" s="75" t="s">
        <v>42</v>
      </c>
      <c r="AM6" s="75" t="s">
        <v>55</v>
      </c>
      <c r="AN6" s="75" t="s">
        <v>61</v>
      </c>
      <c r="AO6" s="77"/>
      <c r="AP6" s="76" t="s">
        <v>17</v>
      </c>
      <c r="AQ6" s="74" t="s">
        <v>37</v>
      </c>
      <c r="AR6" s="79" t="s">
        <v>46</v>
      </c>
      <c r="AS6" s="75" t="s">
        <v>16</v>
      </c>
      <c r="AT6" s="95" t="s">
        <v>38</v>
      </c>
      <c r="AU6" s="95" t="s">
        <v>39</v>
      </c>
      <c r="AV6" s="95" t="s">
        <v>40</v>
      </c>
      <c r="AW6" s="75" t="s">
        <v>41</v>
      </c>
      <c r="AX6" s="75" t="s">
        <v>47</v>
      </c>
      <c r="AY6" s="75" t="s">
        <v>42</v>
      </c>
      <c r="AZ6" s="75" t="s">
        <v>55</v>
      </c>
      <c r="BA6" s="75" t="s">
        <v>61</v>
      </c>
      <c r="BB6" s="77"/>
      <c r="BC6" s="76" t="s">
        <v>17</v>
      </c>
      <c r="BD6" s="74" t="s">
        <v>37</v>
      </c>
      <c r="BE6" s="79" t="s">
        <v>46</v>
      </c>
      <c r="BF6" s="75" t="s">
        <v>16</v>
      </c>
      <c r="BG6" s="95" t="s">
        <v>38</v>
      </c>
      <c r="BH6" s="95" t="s">
        <v>39</v>
      </c>
      <c r="BI6" s="95" t="s">
        <v>40</v>
      </c>
      <c r="BJ6" s="75" t="s">
        <v>41</v>
      </c>
      <c r="BK6" s="75" t="s">
        <v>47</v>
      </c>
      <c r="BL6" s="75" t="s">
        <v>42</v>
      </c>
      <c r="BM6" s="75" t="s">
        <v>55</v>
      </c>
      <c r="BN6" s="75" t="s">
        <v>61</v>
      </c>
      <c r="BO6" s="56"/>
      <c r="BP6" s="40" t="s">
        <v>2</v>
      </c>
      <c r="BQ6" s="15"/>
      <c r="BR6" s="16"/>
      <c r="BS6" s="15"/>
    </row>
    <row r="7" spans="1:71" s="14" customFormat="1" ht="15" customHeight="1" x14ac:dyDescent="0.7">
      <c r="A7" s="222" t="s">
        <v>20</v>
      </c>
      <c r="B7" s="223"/>
      <c r="C7" s="37"/>
      <c r="D7" s="37"/>
      <c r="E7" s="80"/>
      <c r="F7" s="15"/>
      <c r="G7" s="96"/>
      <c r="H7" s="96"/>
      <c r="I7" s="96"/>
      <c r="J7" s="15"/>
      <c r="K7" s="15"/>
      <c r="L7" s="73"/>
      <c r="M7" s="73"/>
      <c r="N7" s="73"/>
      <c r="O7" s="38"/>
      <c r="P7" s="39"/>
      <c r="Q7" s="37"/>
      <c r="R7" s="80"/>
      <c r="S7" s="15"/>
      <c r="T7" s="96"/>
      <c r="U7" s="96"/>
      <c r="V7" s="96"/>
      <c r="W7" s="15"/>
      <c r="X7" s="15"/>
      <c r="Y7" s="73"/>
      <c r="Z7" s="73"/>
      <c r="AA7" s="73"/>
      <c r="AB7" s="38"/>
      <c r="AC7" s="39"/>
      <c r="AD7" s="37"/>
      <c r="AE7" s="80"/>
      <c r="AF7" s="15"/>
      <c r="AG7" s="96"/>
      <c r="AH7" s="96"/>
      <c r="AI7" s="96"/>
      <c r="AJ7" s="15"/>
      <c r="AK7" s="15"/>
      <c r="AL7" s="73"/>
      <c r="AM7" s="73"/>
      <c r="AN7" s="73"/>
      <c r="AO7" s="38"/>
      <c r="AP7" s="39"/>
      <c r="AQ7" s="37"/>
      <c r="AR7" s="80"/>
      <c r="AS7" s="15"/>
      <c r="AT7" s="96"/>
      <c r="AU7" s="96"/>
      <c r="AV7" s="96"/>
      <c r="AW7" s="15"/>
      <c r="AX7" s="15"/>
      <c r="AY7" s="73"/>
      <c r="AZ7" s="73"/>
      <c r="BA7" s="73"/>
      <c r="BB7" s="38"/>
      <c r="BC7" s="39"/>
      <c r="BD7" s="37"/>
      <c r="BE7" s="80"/>
      <c r="BF7" s="15"/>
      <c r="BG7" s="96"/>
      <c r="BH7" s="96"/>
      <c r="BI7" s="96"/>
      <c r="BJ7" s="15"/>
      <c r="BK7" s="15"/>
      <c r="BL7" s="73"/>
      <c r="BM7" s="73"/>
      <c r="BN7" s="73"/>
      <c r="BO7" s="18"/>
      <c r="BP7" s="40"/>
      <c r="BQ7" s="15"/>
      <c r="BR7" s="16"/>
      <c r="BS7" s="15"/>
    </row>
    <row r="8" spans="1:71" s="6" customFormat="1" ht="15" customHeight="1" x14ac:dyDescent="0.6">
      <c r="A8" s="216" t="str">
        <f>'Monthly Budget'!A8</f>
        <v>Martinez Machain, Carla (AY)</v>
      </c>
      <c r="B8" s="217"/>
      <c r="C8" s="12">
        <f>'Monthly Budget'!C8</f>
        <v>0</v>
      </c>
      <c r="D8" s="41">
        <f t="shared" ref="D8:D17" si="0">C8/12*1950</f>
        <v>0</v>
      </c>
      <c r="E8" s="81">
        <f>'Monthly Budget'!E8</f>
        <v>153676</v>
      </c>
      <c r="F8" s="19">
        <f>E8/9</f>
        <v>17075.111111111109</v>
      </c>
      <c r="G8" s="97">
        <f>E8/(1950*0.75)</f>
        <v>105.07760683760684</v>
      </c>
      <c r="H8" s="97">
        <f>G8*Rates!B$3</f>
        <v>67.722517606837599</v>
      </c>
      <c r="I8" s="97">
        <f t="shared" ref="I8:I17" si="1">G8+H8</f>
        <v>172.80012444444444</v>
      </c>
      <c r="J8" s="4">
        <f t="shared" ref="J8:J17" si="2">ROUND(D8*G8, 0)</f>
        <v>0</v>
      </c>
      <c r="K8" s="4">
        <f t="shared" ref="K8:K17" si="3">D8*H8</f>
        <v>0</v>
      </c>
      <c r="L8" s="4">
        <f t="shared" ref="L8:L17" si="4">J8+K8</f>
        <v>0</v>
      </c>
      <c r="M8" s="4">
        <f>I8*(1+Rates!B$13)</f>
        <v>277.34419973333331</v>
      </c>
      <c r="N8" s="4">
        <f>D8*M8</f>
        <v>0</v>
      </c>
      <c r="O8" s="18"/>
      <c r="P8" s="12">
        <f>'Monthly Budget'!K8</f>
        <v>0</v>
      </c>
      <c r="Q8" s="41">
        <f t="shared" ref="Q8:Q17" si="5">P8/12*1950</f>
        <v>0</v>
      </c>
      <c r="R8" s="81">
        <f t="shared" ref="R8:R17" si="6">E8*1.02</f>
        <v>156749.51999999999</v>
      </c>
      <c r="S8" s="19">
        <f>R8/9</f>
        <v>17416.613333333331</v>
      </c>
      <c r="T8" s="97">
        <f>R8/(1950*0.75)</f>
        <v>107.17915897435897</v>
      </c>
      <c r="U8" s="97">
        <f>T8*Rates!C$3</f>
        <v>70.148759548717948</v>
      </c>
      <c r="V8" s="97">
        <f t="shared" ref="V8:V17" si="7">T8+U8</f>
        <v>177.3279185230769</v>
      </c>
      <c r="W8" s="4">
        <f t="shared" ref="W8:W17" si="8">ROUND(Q8*T8, 0)</f>
        <v>0</v>
      </c>
      <c r="X8" s="4">
        <f t="shared" ref="X8:X17" si="9">ROUND(Q8*U8, 0)</f>
        <v>0</v>
      </c>
      <c r="Y8" s="4">
        <f t="shared" ref="Y8:Y17" si="10">W8+X8</f>
        <v>0</v>
      </c>
      <c r="Z8" s="4">
        <f>V8*(1+Rates!C$13)</f>
        <v>285.49794882215377</v>
      </c>
      <c r="AA8" s="4">
        <f>Q8*Z8</f>
        <v>0</v>
      </c>
      <c r="AB8" s="18"/>
      <c r="AC8" s="12">
        <f>'Monthly Budget'!S8</f>
        <v>0</v>
      </c>
      <c r="AD8" s="41">
        <f t="shared" ref="AD8:AD17" si="11">AC8/12*1950</f>
        <v>0</v>
      </c>
      <c r="AE8" s="81">
        <f t="shared" ref="AE8:AE17" si="12">R8*1.02</f>
        <v>159884.5104</v>
      </c>
      <c r="AF8" s="19">
        <f>AE8/9</f>
        <v>17764.945599999999</v>
      </c>
      <c r="AG8" s="97">
        <f>AE8/(1950*0.75)</f>
        <v>109.32274215384615</v>
      </c>
      <c r="AH8" s="97">
        <f>AG8*Rates!D$3</f>
        <v>73.071320855630759</v>
      </c>
      <c r="AI8" s="97">
        <f t="shared" ref="AI8:AI17" si="13">AG8+AH8</f>
        <v>182.39406300947689</v>
      </c>
      <c r="AJ8" s="4">
        <f t="shared" ref="AJ8:AJ17" si="14">ROUND(AD8*AG8, 0)</f>
        <v>0</v>
      </c>
      <c r="AK8" s="4">
        <f t="shared" ref="AK8:AK17" si="15">ROUND(AD8*AH8, 0)</f>
        <v>0</v>
      </c>
      <c r="AL8" s="4">
        <f t="shared" ref="AL8:AL17" si="16">AJ8+AK8</f>
        <v>0</v>
      </c>
      <c r="AM8" s="4">
        <f>AI8*(1+Rates!D$13)</f>
        <v>293.65444144525776</v>
      </c>
      <c r="AN8" s="4">
        <f>AD8*AM8</f>
        <v>0</v>
      </c>
      <c r="AO8" s="18"/>
      <c r="AP8" s="12">
        <f>'Monthly Budget'!AA8</f>
        <v>0</v>
      </c>
      <c r="AQ8" s="41">
        <f t="shared" ref="AQ8:AQ17" si="17">AP8/12*1950</f>
        <v>0</v>
      </c>
      <c r="AR8" s="81">
        <f t="shared" ref="AR8:AR17" si="18">AE8*1.02</f>
        <v>163082.20060800001</v>
      </c>
      <c r="AS8" s="19">
        <f>AR8/9</f>
        <v>18120.244512000001</v>
      </c>
      <c r="AT8" s="97">
        <f>AR8/(1950*0.75)</f>
        <v>111.50919699692308</v>
      </c>
      <c r="AU8" s="97">
        <f>AT8*Rates!E$3</f>
        <v>76.13847970949908</v>
      </c>
      <c r="AV8" s="97">
        <f t="shared" ref="AV8:AV17" si="19">AT8+AU8</f>
        <v>187.64767670642215</v>
      </c>
      <c r="AW8" s="4">
        <f t="shared" ref="AW8:AW17" si="20">ROUND(AQ8*AT8, 0)</f>
        <v>0</v>
      </c>
      <c r="AX8" s="4">
        <f t="shared" ref="AX8:AX17" si="21">ROUND(AQ8*AU8, 0)</f>
        <v>0</v>
      </c>
      <c r="AY8" s="4">
        <f t="shared" ref="AY8:AY17" si="22">AW8+AX8</f>
        <v>0</v>
      </c>
      <c r="AZ8" s="4">
        <f>AV8*(1+Rates!E$13)</f>
        <v>302.11275949733965</v>
      </c>
      <c r="BA8" s="4">
        <f>AQ8*AZ8</f>
        <v>0</v>
      </c>
      <c r="BB8" s="18"/>
      <c r="BC8" s="12">
        <f>'Monthly Budget'!AI8</f>
        <v>0</v>
      </c>
      <c r="BD8" s="41">
        <f t="shared" ref="BD8:BD17" si="23">BC8/12*1950</f>
        <v>0</v>
      </c>
      <c r="BE8" s="81">
        <f t="shared" ref="BE8:BE17" si="24">AR8*1.02</f>
        <v>166343.84462016003</v>
      </c>
      <c r="BF8" s="19">
        <f>BE8/9</f>
        <v>18482.649402240004</v>
      </c>
      <c r="BG8" s="97">
        <f>BE8/(1950*0.75)</f>
        <v>113.73938093686156</v>
      </c>
      <c r="BH8" s="97">
        <f>BG8*Rates!F$3</f>
        <v>77.661249303689075</v>
      </c>
      <c r="BI8" s="97">
        <f t="shared" ref="BI8:BI17" si="25">BG8+BH8</f>
        <v>191.40063024055064</v>
      </c>
      <c r="BJ8" s="4">
        <f t="shared" ref="BJ8:BJ17" si="26">ROUND(BD8*BG8, 0)</f>
        <v>0</v>
      </c>
      <c r="BK8" s="4">
        <f t="shared" ref="BK8:BK17" si="27">ROUND(BD8*BH8, 0)</f>
        <v>0</v>
      </c>
      <c r="BL8" s="4">
        <f t="shared" ref="BL8:BL17" si="28">BJ8+BK8</f>
        <v>0</v>
      </c>
      <c r="BM8" s="4">
        <f>BI8*(1+Rates!F$13)</f>
        <v>308.1550146872865</v>
      </c>
      <c r="BN8" s="4">
        <f>BD8*BM8</f>
        <v>0</v>
      </c>
      <c r="BO8" s="38"/>
      <c r="BP8" s="42">
        <f>N8+AA8+AN8+BA8+BN8</f>
        <v>0</v>
      </c>
      <c r="BQ8" s="4"/>
      <c r="BR8" s="4"/>
    </row>
    <row r="9" spans="1:71" s="6" customFormat="1" ht="15" customHeight="1" x14ac:dyDescent="0.6">
      <c r="A9" s="216" t="str">
        <f>'Monthly Budget'!A9</f>
        <v>Name (AY)</v>
      </c>
      <c r="B9" s="217"/>
      <c r="C9" s="12">
        <f>'Monthly Budget'!C9</f>
        <v>0</v>
      </c>
      <c r="D9" s="41">
        <f t="shared" si="0"/>
        <v>0</v>
      </c>
      <c r="E9" s="81">
        <f>'Monthly Budget'!E9</f>
        <v>0</v>
      </c>
      <c r="F9" s="19">
        <f>E9/9</f>
        <v>0</v>
      </c>
      <c r="G9" s="97">
        <f>E9/(1950*0.75)</f>
        <v>0</v>
      </c>
      <c r="H9" s="97">
        <f>G9*Rates!B$3</f>
        <v>0</v>
      </c>
      <c r="I9" s="97">
        <f t="shared" si="1"/>
        <v>0</v>
      </c>
      <c r="J9" s="4">
        <f t="shared" si="2"/>
        <v>0</v>
      </c>
      <c r="K9" s="4">
        <f t="shared" si="3"/>
        <v>0</v>
      </c>
      <c r="L9" s="4">
        <f t="shared" si="4"/>
        <v>0</v>
      </c>
      <c r="M9" s="4">
        <f>I9*(1+Rates!B$13)</f>
        <v>0</v>
      </c>
      <c r="N9" s="4">
        <f t="shared" ref="N9:N17" si="29">D9*M9</f>
        <v>0</v>
      </c>
      <c r="O9" s="18"/>
      <c r="P9" s="12">
        <f>'Monthly Budget'!K9</f>
        <v>0</v>
      </c>
      <c r="Q9" s="41">
        <f t="shared" si="5"/>
        <v>0</v>
      </c>
      <c r="R9" s="81">
        <f t="shared" si="6"/>
        <v>0</v>
      </c>
      <c r="S9" s="19">
        <f>R9/9</f>
        <v>0</v>
      </c>
      <c r="T9" s="97">
        <f>R9/(1950*0.75)</f>
        <v>0</v>
      </c>
      <c r="U9" s="97">
        <f>T9*Rates!C$3</f>
        <v>0</v>
      </c>
      <c r="V9" s="97">
        <f t="shared" si="7"/>
        <v>0</v>
      </c>
      <c r="W9" s="4">
        <f t="shared" si="8"/>
        <v>0</v>
      </c>
      <c r="X9" s="4">
        <f t="shared" si="9"/>
        <v>0</v>
      </c>
      <c r="Y9" s="4">
        <f t="shared" si="10"/>
        <v>0</v>
      </c>
      <c r="Z9" s="4">
        <f>V9*(1+Rates!C$13)</f>
        <v>0</v>
      </c>
      <c r="AA9" s="4">
        <f t="shared" ref="AA9:AA17" si="30">Q9*Z9</f>
        <v>0</v>
      </c>
      <c r="AB9" s="18"/>
      <c r="AC9" s="12">
        <f>'Monthly Budget'!S9</f>
        <v>0</v>
      </c>
      <c r="AD9" s="41">
        <f t="shared" si="11"/>
        <v>0</v>
      </c>
      <c r="AE9" s="81">
        <f t="shared" si="12"/>
        <v>0</v>
      </c>
      <c r="AF9" s="19">
        <f>AE9/9</f>
        <v>0</v>
      </c>
      <c r="AG9" s="97">
        <f>AE9/(1950*0.75)</f>
        <v>0</v>
      </c>
      <c r="AH9" s="97">
        <f>AG9*Rates!D$3</f>
        <v>0</v>
      </c>
      <c r="AI9" s="97">
        <f t="shared" si="13"/>
        <v>0</v>
      </c>
      <c r="AJ9" s="4">
        <f t="shared" si="14"/>
        <v>0</v>
      </c>
      <c r="AK9" s="4">
        <f t="shared" si="15"/>
        <v>0</v>
      </c>
      <c r="AL9" s="4">
        <f t="shared" si="16"/>
        <v>0</v>
      </c>
      <c r="AM9" s="4">
        <f>AI9*(1+Rates!D$13)</f>
        <v>0</v>
      </c>
      <c r="AN9" s="4">
        <f t="shared" ref="AN9:AN17" si="31">AD9*AM9</f>
        <v>0</v>
      </c>
      <c r="AO9" s="18"/>
      <c r="AP9" s="12">
        <f>'Monthly Budget'!AA9</f>
        <v>0</v>
      </c>
      <c r="AQ9" s="41">
        <f t="shared" si="17"/>
        <v>0</v>
      </c>
      <c r="AR9" s="81">
        <f t="shared" si="18"/>
        <v>0</v>
      </c>
      <c r="AS9" s="19">
        <f>AR9/9</f>
        <v>0</v>
      </c>
      <c r="AT9" s="97">
        <f>AR9/(1950*0.75)</f>
        <v>0</v>
      </c>
      <c r="AU9" s="97">
        <f>AT9*Rates!E$3</f>
        <v>0</v>
      </c>
      <c r="AV9" s="97">
        <f t="shared" si="19"/>
        <v>0</v>
      </c>
      <c r="AW9" s="4">
        <f t="shared" si="20"/>
        <v>0</v>
      </c>
      <c r="AX9" s="4">
        <f t="shared" si="21"/>
        <v>0</v>
      </c>
      <c r="AY9" s="4">
        <f t="shared" si="22"/>
        <v>0</v>
      </c>
      <c r="AZ9" s="4">
        <f>AV9*(1+Rates!E$13)</f>
        <v>0</v>
      </c>
      <c r="BA9" s="4">
        <f t="shared" ref="BA9:BA17" si="32">AQ9*AZ9</f>
        <v>0</v>
      </c>
      <c r="BB9" s="18"/>
      <c r="BC9" s="12">
        <f>'Monthly Budget'!AI9</f>
        <v>0</v>
      </c>
      <c r="BD9" s="41">
        <f t="shared" si="23"/>
        <v>0</v>
      </c>
      <c r="BE9" s="81">
        <f t="shared" si="24"/>
        <v>0</v>
      </c>
      <c r="BF9" s="19">
        <f>BE9/9</f>
        <v>0</v>
      </c>
      <c r="BG9" s="97">
        <f>BE9/(1950*0.75)</f>
        <v>0</v>
      </c>
      <c r="BH9" s="97">
        <f>BG9*Rates!F$3</f>
        <v>0</v>
      </c>
      <c r="BI9" s="97">
        <f t="shared" si="25"/>
        <v>0</v>
      </c>
      <c r="BJ9" s="4">
        <f t="shared" si="26"/>
        <v>0</v>
      </c>
      <c r="BK9" s="4">
        <f t="shared" si="27"/>
        <v>0</v>
      </c>
      <c r="BL9" s="4">
        <f t="shared" si="28"/>
        <v>0</v>
      </c>
      <c r="BM9" s="4">
        <f>BI9*(1+Rates!F$13)</f>
        <v>0</v>
      </c>
      <c r="BN9" s="4">
        <f t="shared" ref="BN9:BN17" si="33">BD9*BM9</f>
        <v>0</v>
      </c>
      <c r="BO9" s="38"/>
      <c r="BP9" s="42">
        <f t="shared" ref="BP9:BP16" si="34">N9+AA9+AN9+BA9+BN9</f>
        <v>0</v>
      </c>
      <c r="BQ9" s="4"/>
      <c r="BR9" s="4"/>
    </row>
    <row r="10" spans="1:71" s="6" customFormat="1" ht="15" customHeight="1" x14ac:dyDescent="0.6">
      <c r="A10" s="216" t="str">
        <f>'Monthly Budget'!A10</f>
        <v>Name (AY)</v>
      </c>
      <c r="B10" s="217"/>
      <c r="C10" s="12">
        <f>'Monthly Budget'!C10</f>
        <v>0</v>
      </c>
      <c r="D10" s="41">
        <f t="shared" si="0"/>
        <v>0</v>
      </c>
      <c r="E10" s="81">
        <f>'Monthly Budget'!E10</f>
        <v>0</v>
      </c>
      <c r="F10" s="19">
        <f>E10/9</f>
        <v>0</v>
      </c>
      <c r="G10" s="97">
        <f>E10/(1950*0.75)</f>
        <v>0</v>
      </c>
      <c r="H10" s="97">
        <f>G10*Rates!B$3</f>
        <v>0</v>
      </c>
      <c r="I10" s="97">
        <f t="shared" si="1"/>
        <v>0</v>
      </c>
      <c r="J10" s="4">
        <f t="shared" si="2"/>
        <v>0</v>
      </c>
      <c r="K10" s="4">
        <f t="shared" si="3"/>
        <v>0</v>
      </c>
      <c r="L10" s="4">
        <f t="shared" si="4"/>
        <v>0</v>
      </c>
      <c r="M10" s="4">
        <f>I10*(1+Rates!B$13)</f>
        <v>0</v>
      </c>
      <c r="N10" s="4">
        <f t="shared" si="29"/>
        <v>0</v>
      </c>
      <c r="O10" s="18"/>
      <c r="P10" s="12">
        <f>'Monthly Budget'!K10</f>
        <v>0</v>
      </c>
      <c r="Q10" s="41">
        <f t="shared" si="5"/>
        <v>0</v>
      </c>
      <c r="R10" s="81">
        <f t="shared" si="6"/>
        <v>0</v>
      </c>
      <c r="S10" s="19">
        <f>R10/9</f>
        <v>0</v>
      </c>
      <c r="T10" s="97">
        <f>R10/(1950*0.75)</f>
        <v>0</v>
      </c>
      <c r="U10" s="97">
        <f>T10*Rates!C$3</f>
        <v>0</v>
      </c>
      <c r="V10" s="97">
        <f t="shared" si="7"/>
        <v>0</v>
      </c>
      <c r="W10" s="4">
        <f t="shared" si="8"/>
        <v>0</v>
      </c>
      <c r="X10" s="4">
        <f t="shared" si="9"/>
        <v>0</v>
      </c>
      <c r="Y10" s="4">
        <f t="shared" si="10"/>
        <v>0</v>
      </c>
      <c r="Z10" s="4">
        <f>V10*(1+Rates!C$13)</f>
        <v>0</v>
      </c>
      <c r="AA10" s="4">
        <f t="shared" si="30"/>
        <v>0</v>
      </c>
      <c r="AB10" s="18"/>
      <c r="AC10" s="12">
        <f>'Monthly Budget'!S10</f>
        <v>0</v>
      </c>
      <c r="AD10" s="41">
        <f t="shared" si="11"/>
        <v>0</v>
      </c>
      <c r="AE10" s="81">
        <f t="shared" si="12"/>
        <v>0</v>
      </c>
      <c r="AF10" s="19">
        <f>AE10/9</f>
        <v>0</v>
      </c>
      <c r="AG10" s="97">
        <f>AE10/(1950*0.75)</f>
        <v>0</v>
      </c>
      <c r="AH10" s="97">
        <f>AG10*Rates!D$3</f>
        <v>0</v>
      </c>
      <c r="AI10" s="97">
        <f t="shared" si="13"/>
        <v>0</v>
      </c>
      <c r="AJ10" s="4">
        <f t="shared" si="14"/>
        <v>0</v>
      </c>
      <c r="AK10" s="4">
        <f t="shared" si="15"/>
        <v>0</v>
      </c>
      <c r="AL10" s="4">
        <f t="shared" si="16"/>
        <v>0</v>
      </c>
      <c r="AM10" s="4">
        <f>AI10*(1+Rates!D$13)</f>
        <v>0</v>
      </c>
      <c r="AN10" s="4">
        <f t="shared" si="31"/>
        <v>0</v>
      </c>
      <c r="AO10" s="18"/>
      <c r="AP10" s="12">
        <f>'Monthly Budget'!AA10</f>
        <v>0</v>
      </c>
      <c r="AQ10" s="41">
        <f t="shared" si="17"/>
        <v>0</v>
      </c>
      <c r="AR10" s="81">
        <f t="shared" si="18"/>
        <v>0</v>
      </c>
      <c r="AS10" s="19">
        <f>AR10/9</f>
        <v>0</v>
      </c>
      <c r="AT10" s="97">
        <f>AR10/(1950*0.75)</f>
        <v>0</v>
      </c>
      <c r="AU10" s="97">
        <f>AT10*Rates!E$3</f>
        <v>0</v>
      </c>
      <c r="AV10" s="97">
        <f t="shared" si="19"/>
        <v>0</v>
      </c>
      <c r="AW10" s="4">
        <f t="shared" si="20"/>
        <v>0</v>
      </c>
      <c r="AX10" s="4">
        <f t="shared" si="21"/>
        <v>0</v>
      </c>
      <c r="AY10" s="4">
        <f t="shared" si="22"/>
        <v>0</v>
      </c>
      <c r="AZ10" s="4">
        <f>AV10*(1+Rates!E$13)</f>
        <v>0</v>
      </c>
      <c r="BA10" s="4">
        <f t="shared" si="32"/>
        <v>0</v>
      </c>
      <c r="BB10" s="18"/>
      <c r="BC10" s="12">
        <f>'Monthly Budget'!AI10</f>
        <v>0</v>
      </c>
      <c r="BD10" s="41">
        <f t="shared" si="23"/>
        <v>0</v>
      </c>
      <c r="BE10" s="81">
        <f t="shared" si="24"/>
        <v>0</v>
      </c>
      <c r="BF10" s="19">
        <f>BE10/9</f>
        <v>0</v>
      </c>
      <c r="BG10" s="97">
        <f>BE10/(1950*0.75)</f>
        <v>0</v>
      </c>
      <c r="BH10" s="97">
        <f>BG10*Rates!F$3</f>
        <v>0</v>
      </c>
      <c r="BI10" s="97">
        <f t="shared" si="25"/>
        <v>0</v>
      </c>
      <c r="BJ10" s="4">
        <f t="shared" si="26"/>
        <v>0</v>
      </c>
      <c r="BK10" s="4">
        <f t="shared" si="27"/>
        <v>0</v>
      </c>
      <c r="BL10" s="4">
        <f t="shared" si="28"/>
        <v>0</v>
      </c>
      <c r="BM10" s="4">
        <f>BI10*(1+Rates!F$13)</f>
        <v>0</v>
      </c>
      <c r="BN10" s="4">
        <f t="shared" si="33"/>
        <v>0</v>
      </c>
      <c r="BO10" s="38"/>
      <c r="BP10" s="42">
        <f t="shared" si="34"/>
        <v>0</v>
      </c>
      <c r="BQ10" s="4"/>
      <c r="BR10" s="4"/>
    </row>
    <row r="11" spans="1:71" s="6" customFormat="1" ht="15" customHeight="1" x14ac:dyDescent="0.6">
      <c r="A11" s="216" t="str">
        <f>'Monthly Budget'!A11</f>
        <v>Name (AY)</v>
      </c>
      <c r="B11" s="217"/>
      <c r="C11" s="12">
        <f>'Monthly Budget'!C11</f>
        <v>0</v>
      </c>
      <c r="D11" s="41">
        <f t="shared" si="0"/>
        <v>0</v>
      </c>
      <c r="E11" s="81">
        <f>'Monthly Budget'!E11</f>
        <v>0</v>
      </c>
      <c r="F11" s="19">
        <f>E11/9</f>
        <v>0</v>
      </c>
      <c r="G11" s="97">
        <f>E11/(1950*0.75)</f>
        <v>0</v>
      </c>
      <c r="H11" s="97">
        <f>G11*Rates!B$3</f>
        <v>0</v>
      </c>
      <c r="I11" s="97">
        <f t="shared" si="1"/>
        <v>0</v>
      </c>
      <c r="J11" s="4">
        <f t="shared" si="2"/>
        <v>0</v>
      </c>
      <c r="K11" s="4">
        <f t="shared" si="3"/>
        <v>0</v>
      </c>
      <c r="L11" s="4">
        <f t="shared" si="4"/>
        <v>0</v>
      </c>
      <c r="M11" s="4">
        <f>I11*(1+Rates!B$13)</f>
        <v>0</v>
      </c>
      <c r="N11" s="4">
        <f t="shared" si="29"/>
        <v>0</v>
      </c>
      <c r="O11" s="18"/>
      <c r="P11" s="12">
        <f>'Monthly Budget'!K11</f>
        <v>0</v>
      </c>
      <c r="Q11" s="41">
        <f t="shared" si="5"/>
        <v>0</v>
      </c>
      <c r="R11" s="81">
        <f t="shared" si="6"/>
        <v>0</v>
      </c>
      <c r="S11" s="19">
        <f>R11/9</f>
        <v>0</v>
      </c>
      <c r="T11" s="97">
        <f>R11/(1950*0.75)</f>
        <v>0</v>
      </c>
      <c r="U11" s="97">
        <f>T11*Rates!C$3</f>
        <v>0</v>
      </c>
      <c r="V11" s="97">
        <f t="shared" si="7"/>
        <v>0</v>
      </c>
      <c r="W11" s="4">
        <f t="shared" si="8"/>
        <v>0</v>
      </c>
      <c r="X11" s="4">
        <f t="shared" si="9"/>
        <v>0</v>
      </c>
      <c r="Y11" s="4">
        <f t="shared" si="10"/>
        <v>0</v>
      </c>
      <c r="Z11" s="4">
        <f>V11*(1+Rates!C$13)</f>
        <v>0</v>
      </c>
      <c r="AA11" s="4">
        <f t="shared" si="30"/>
        <v>0</v>
      </c>
      <c r="AB11" s="18"/>
      <c r="AC11" s="12">
        <f>'Monthly Budget'!S11</f>
        <v>0</v>
      </c>
      <c r="AD11" s="41">
        <f t="shared" si="11"/>
        <v>0</v>
      </c>
      <c r="AE11" s="81">
        <f t="shared" si="12"/>
        <v>0</v>
      </c>
      <c r="AF11" s="19">
        <f>AE11/9</f>
        <v>0</v>
      </c>
      <c r="AG11" s="97">
        <f>AE11/(1950*0.75)</f>
        <v>0</v>
      </c>
      <c r="AH11" s="97">
        <f>AG11*Rates!D$3</f>
        <v>0</v>
      </c>
      <c r="AI11" s="97">
        <f t="shared" si="13"/>
        <v>0</v>
      </c>
      <c r="AJ11" s="4">
        <f t="shared" si="14"/>
        <v>0</v>
      </c>
      <c r="AK11" s="4">
        <f t="shared" si="15"/>
        <v>0</v>
      </c>
      <c r="AL11" s="4">
        <f t="shared" si="16"/>
        <v>0</v>
      </c>
      <c r="AM11" s="4">
        <f>AI11*(1+Rates!D$13)</f>
        <v>0</v>
      </c>
      <c r="AN11" s="4">
        <f t="shared" si="31"/>
        <v>0</v>
      </c>
      <c r="AO11" s="18"/>
      <c r="AP11" s="12">
        <f>'Monthly Budget'!AA11</f>
        <v>0</v>
      </c>
      <c r="AQ11" s="41">
        <f t="shared" si="17"/>
        <v>0</v>
      </c>
      <c r="AR11" s="81">
        <f t="shared" si="18"/>
        <v>0</v>
      </c>
      <c r="AS11" s="19">
        <f>AR11/9</f>
        <v>0</v>
      </c>
      <c r="AT11" s="97">
        <f>AR11/(1950*0.75)</f>
        <v>0</v>
      </c>
      <c r="AU11" s="97">
        <f>AT11*Rates!E$3</f>
        <v>0</v>
      </c>
      <c r="AV11" s="97">
        <f t="shared" si="19"/>
        <v>0</v>
      </c>
      <c r="AW11" s="4">
        <f t="shared" si="20"/>
        <v>0</v>
      </c>
      <c r="AX11" s="4">
        <f t="shared" si="21"/>
        <v>0</v>
      </c>
      <c r="AY11" s="4">
        <f t="shared" si="22"/>
        <v>0</v>
      </c>
      <c r="AZ11" s="4">
        <f>AV11*(1+Rates!E$13)</f>
        <v>0</v>
      </c>
      <c r="BA11" s="4">
        <f t="shared" si="32"/>
        <v>0</v>
      </c>
      <c r="BB11" s="18"/>
      <c r="BC11" s="12">
        <f>'Monthly Budget'!AI11</f>
        <v>0</v>
      </c>
      <c r="BD11" s="41">
        <f t="shared" si="23"/>
        <v>0</v>
      </c>
      <c r="BE11" s="81">
        <f t="shared" si="24"/>
        <v>0</v>
      </c>
      <c r="BF11" s="19">
        <f>BE11/9</f>
        <v>0</v>
      </c>
      <c r="BG11" s="97">
        <f>BE11/(1950*0.75)</f>
        <v>0</v>
      </c>
      <c r="BH11" s="97">
        <f>BG11*Rates!F$3</f>
        <v>0</v>
      </c>
      <c r="BI11" s="97">
        <f t="shared" si="25"/>
        <v>0</v>
      </c>
      <c r="BJ11" s="4">
        <f t="shared" si="26"/>
        <v>0</v>
      </c>
      <c r="BK11" s="4">
        <f t="shared" si="27"/>
        <v>0</v>
      </c>
      <c r="BL11" s="4">
        <f t="shared" si="28"/>
        <v>0</v>
      </c>
      <c r="BM11" s="4">
        <f>BI11*(1+Rates!F$13)</f>
        <v>0</v>
      </c>
      <c r="BN11" s="4">
        <f t="shared" si="33"/>
        <v>0</v>
      </c>
      <c r="BO11" s="18"/>
      <c r="BP11" s="42">
        <f t="shared" si="34"/>
        <v>0</v>
      </c>
      <c r="BQ11" s="4"/>
      <c r="BR11" s="4"/>
    </row>
    <row r="12" spans="1:71" s="6" customFormat="1" ht="15" customHeight="1" x14ac:dyDescent="0.6">
      <c r="A12" s="216" t="str">
        <f>'Monthly Budget'!A12</f>
        <v>Name (AY)</v>
      </c>
      <c r="B12" s="217"/>
      <c r="C12" s="12">
        <f>'Monthly Budget'!C12</f>
        <v>0</v>
      </c>
      <c r="D12" s="41">
        <f t="shared" si="0"/>
        <v>0</v>
      </c>
      <c r="E12" s="81">
        <f>'Monthly Budget'!E12</f>
        <v>0</v>
      </c>
      <c r="F12" s="19">
        <f>E12/9</f>
        <v>0</v>
      </c>
      <c r="G12" s="97">
        <f>E12/(1950*0.75)</f>
        <v>0</v>
      </c>
      <c r="H12" s="97">
        <f>G12*Rates!B$3</f>
        <v>0</v>
      </c>
      <c r="I12" s="97">
        <f t="shared" si="1"/>
        <v>0</v>
      </c>
      <c r="J12" s="4">
        <f t="shared" si="2"/>
        <v>0</v>
      </c>
      <c r="K12" s="4">
        <f t="shared" si="3"/>
        <v>0</v>
      </c>
      <c r="L12" s="4">
        <f t="shared" si="4"/>
        <v>0</v>
      </c>
      <c r="M12" s="4">
        <f>I12*(1+Rates!B$13)</f>
        <v>0</v>
      </c>
      <c r="N12" s="4">
        <f t="shared" si="29"/>
        <v>0</v>
      </c>
      <c r="O12" s="18"/>
      <c r="P12" s="12">
        <f>'Monthly Budget'!K12</f>
        <v>0</v>
      </c>
      <c r="Q12" s="41">
        <f t="shared" si="5"/>
        <v>0</v>
      </c>
      <c r="R12" s="81">
        <f t="shared" si="6"/>
        <v>0</v>
      </c>
      <c r="S12" s="19">
        <f>R12/9</f>
        <v>0</v>
      </c>
      <c r="T12" s="97">
        <f>R12/(1950*0.75)</f>
        <v>0</v>
      </c>
      <c r="U12" s="97">
        <f>T12*Rates!C$3</f>
        <v>0</v>
      </c>
      <c r="V12" s="97">
        <f t="shared" si="7"/>
        <v>0</v>
      </c>
      <c r="W12" s="4">
        <f t="shared" si="8"/>
        <v>0</v>
      </c>
      <c r="X12" s="4">
        <f t="shared" si="9"/>
        <v>0</v>
      </c>
      <c r="Y12" s="4">
        <f t="shared" si="10"/>
        <v>0</v>
      </c>
      <c r="Z12" s="4">
        <f>V12*(1+Rates!C$13)</f>
        <v>0</v>
      </c>
      <c r="AA12" s="4">
        <f t="shared" si="30"/>
        <v>0</v>
      </c>
      <c r="AB12" s="18"/>
      <c r="AC12" s="12">
        <f>'Monthly Budget'!S12</f>
        <v>0</v>
      </c>
      <c r="AD12" s="41">
        <f t="shared" si="11"/>
        <v>0</v>
      </c>
      <c r="AE12" s="81">
        <f t="shared" si="12"/>
        <v>0</v>
      </c>
      <c r="AF12" s="19">
        <f>AE12/9</f>
        <v>0</v>
      </c>
      <c r="AG12" s="97">
        <f>AE12/(1950*0.75)</f>
        <v>0</v>
      </c>
      <c r="AH12" s="97">
        <f>AG12*Rates!D$3</f>
        <v>0</v>
      </c>
      <c r="AI12" s="97">
        <f t="shared" si="13"/>
        <v>0</v>
      </c>
      <c r="AJ12" s="4">
        <f t="shared" si="14"/>
        <v>0</v>
      </c>
      <c r="AK12" s="4">
        <f t="shared" si="15"/>
        <v>0</v>
      </c>
      <c r="AL12" s="4">
        <f t="shared" si="16"/>
        <v>0</v>
      </c>
      <c r="AM12" s="4">
        <f>AI12*(1+Rates!D$13)</f>
        <v>0</v>
      </c>
      <c r="AN12" s="4">
        <f t="shared" si="31"/>
        <v>0</v>
      </c>
      <c r="AO12" s="18"/>
      <c r="AP12" s="12">
        <f>'Monthly Budget'!AA12</f>
        <v>0</v>
      </c>
      <c r="AQ12" s="41">
        <f t="shared" si="17"/>
        <v>0</v>
      </c>
      <c r="AR12" s="81">
        <f t="shared" si="18"/>
        <v>0</v>
      </c>
      <c r="AS12" s="19">
        <f>AR12/9</f>
        <v>0</v>
      </c>
      <c r="AT12" s="97">
        <f>AR12/(1950*0.75)</f>
        <v>0</v>
      </c>
      <c r="AU12" s="97">
        <f>AT12*Rates!E$3</f>
        <v>0</v>
      </c>
      <c r="AV12" s="97">
        <f t="shared" si="19"/>
        <v>0</v>
      </c>
      <c r="AW12" s="4">
        <f t="shared" si="20"/>
        <v>0</v>
      </c>
      <c r="AX12" s="4">
        <f t="shared" si="21"/>
        <v>0</v>
      </c>
      <c r="AY12" s="4">
        <f t="shared" si="22"/>
        <v>0</v>
      </c>
      <c r="AZ12" s="4">
        <f>AV12*(1+Rates!E$13)</f>
        <v>0</v>
      </c>
      <c r="BA12" s="4">
        <f t="shared" si="32"/>
        <v>0</v>
      </c>
      <c r="BB12" s="18"/>
      <c r="BC12" s="12">
        <f>'Monthly Budget'!AI12</f>
        <v>0</v>
      </c>
      <c r="BD12" s="41">
        <f t="shared" si="23"/>
        <v>0</v>
      </c>
      <c r="BE12" s="81">
        <f t="shared" si="24"/>
        <v>0</v>
      </c>
      <c r="BF12" s="19">
        <f>BE12/9</f>
        <v>0</v>
      </c>
      <c r="BG12" s="97">
        <f>BE12/(1950*0.75)</f>
        <v>0</v>
      </c>
      <c r="BH12" s="97">
        <f>BG12*Rates!F$3</f>
        <v>0</v>
      </c>
      <c r="BI12" s="97">
        <f t="shared" si="25"/>
        <v>0</v>
      </c>
      <c r="BJ12" s="4">
        <f t="shared" si="26"/>
        <v>0</v>
      </c>
      <c r="BK12" s="4">
        <f t="shared" si="27"/>
        <v>0</v>
      </c>
      <c r="BL12" s="4">
        <f t="shared" si="28"/>
        <v>0</v>
      </c>
      <c r="BM12" s="4">
        <f>BI12*(1+Rates!F$13)</f>
        <v>0</v>
      </c>
      <c r="BN12" s="4">
        <f t="shared" si="33"/>
        <v>0</v>
      </c>
      <c r="BO12" s="18"/>
      <c r="BP12" s="42">
        <f t="shared" si="34"/>
        <v>0</v>
      </c>
      <c r="BQ12" s="4"/>
      <c r="BR12" s="4"/>
    </row>
    <row r="13" spans="1:71" s="6" customFormat="1" ht="15" customHeight="1" x14ac:dyDescent="0.6">
      <c r="A13" s="216" t="str">
        <f>'Monthly Budget'!A13:B13</f>
        <v>Name (CY)</v>
      </c>
      <c r="B13" s="217"/>
      <c r="C13" s="12">
        <f>'Monthly Budget'!C13</f>
        <v>0</v>
      </c>
      <c r="D13" s="41">
        <f t="shared" si="0"/>
        <v>0</v>
      </c>
      <c r="E13" s="81">
        <f>'Monthly Budget'!E13</f>
        <v>0</v>
      </c>
      <c r="F13" s="19">
        <f>E13/12</f>
        <v>0</v>
      </c>
      <c r="G13" s="97">
        <f>E13/(1950)</f>
        <v>0</v>
      </c>
      <c r="H13" s="97">
        <f>G13*Rates!B$3</f>
        <v>0</v>
      </c>
      <c r="I13" s="97">
        <f t="shared" si="1"/>
        <v>0</v>
      </c>
      <c r="J13" s="4">
        <f t="shared" si="2"/>
        <v>0</v>
      </c>
      <c r="K13" s="4">
        <f t="shared" si="3"/>
        <v>0</v>
      </c>
      <c r="L13" s="4">
        <f t="shared" si="4"/>
        <v>0</v>
      </c>
      <c r="M13" s="4">
        <f>I13*(1+Rates!B$13)</f>
        <v>0</v>
      </c>
      <c r="N13" s="4">
        <f t="shared" si="29"/>
        <v>0</v>
      </c>
      <c r="O13" s="18"/>
      <c r="P13" s="12">
        <f>'Monthly Budget'!K13</f>
        <v>0</v>
      </c>
      <c r="Q13" s="41">
        <f t="shared" si="5"/>
        <v>0</v>
      </c>
      <c r="R13" s="81">
        <f t="shared" si="6"/>
        <v>0</v>
      </c>
      <c r="S13" s="19">
        <f>R13/12</f>
        <v>0</v>
      </c>
      <c r="T13" s="97">
        <f>R13/(1950)</f>
        <v>0</v>
      </c>
      <c r="U13" s="97">
        <f>T13*Rates!C$3</f>
        <v>0</v>
      </c>
      <c r="V13" s="97">
        <f t="shared" si="7"/>
        <v>0</v>
      </c>
      <c r="W13" s="4">
        <f t="shared" si="8"/>
        <v>0</v>
      </c>
      <c r="X13" s="4">
        <f t="shared" si="9"/>
        <v>0</v>
      </c>
      <c r="Y13" s="4">
        <f t="shared" si="10"/>
        <v>0</v>
      </c>
      <c r="Z13" s="4">
        <f>V13*(1+Rates!C$13)</f>
        <v>0</v>
      </c>
      <c r="AA13" s="4">
        <f t="shared" si="30"/>
        <v>0</v>
      </c>
      <c r="AB13" s="18"/>
      <c r="AC13" s="12">
        <f>'Monthly Budget'!S13</f>
        <v>0</v>
      </c>
      <c r="AD13" s="41">
        <f t="shared" si="11"/>
        <v>0</v>
      </c>
      <c r="AE13" s="81">
        <f t="shared" si="12"/>
        <v>0</v>
      </c>
      <c r="AF13" s="19">
        <f>AE13/12</f>
        <v>0</v>
      </c>
      <c r="AG13" s="97">
        <f>AE13/(1950)</f>
        <v>0</v>
      </c>
      <c r="AH13" s="97">
        <f>AG13*Rates!D$3</f>
        <v>0</v>
      </c>
      <c r="AI13" s="97">
        <f t="shared" si="13"/>
        <v>0</v>
      </c>
      <c r="AJ13" s="4">
        <f t="shared" si="14"/>
        <v>0</v>
      </c>
      <c r="AK13" s="4">
        <f t="shared" si="15"/>
        <v>0</v>
      </c>
      <c r="AL13" s="4">
        <f t="shared" si="16"/>
        <v>0</v>
      </c>
      <c r="AM13" s="4">
        <f>AI13*(1+Rates!D$13)</f>
        <v>0</v>
      </c>
      <c r="AN13" s="4">
        <f t="shared" si="31"/>
        <v>0</v>
      </c>
      <c r="AO13" s="18"/>
      <c r="AP13" s="12">
        <f>'Monthly Budget'!AA13</f>
        <v>0</v>
      </c>
      <c r="AQ13" s="41">
        <f t="shared" si="17"/>
        <v>0</v>
      </c>
      <c r="AR13" s="81">
        <f t="shared" si="18"/>
        <v>0</v>
      </c>
      <c r="AS13" s="19">
        <f>AR13/12</f>
        <v>0</v>
      </c>
      <c r="AT13" s="97">
        <f>AR13/(1950)</f>
        <v>0</v>
      </c>
      <c r="AU13" s="97">
        <f>AT13*Rates!E$3</f>
        <v>0</v>
      </c>
      <c r="AV13" s="97">
        <f t="shared" si="19"/>
        <v>0</v>
      </c>
      <c r="AW13" s="4">
        <f t="shared" si="20"/>
        <v>0</v>
      </c>
      <c r="AX13" s="4">
        <f t="shared" si="21"/>
        <v>0</v>
      </c>
      <c r="AY13" s="4">
        <f t="shared" si="22"/>
        <v>0</v>
      </c>
      <c r="AZ13" s="4">
        <f>AV13*(1+Rates!E$13)</f>
        <v>0</v>
      </c>
      <c r="BA13" s="4">
        <f t="shared" si="32"/>
        <v>0</v>
      </c>
      <c r="BB13" s="18"/>
      <c r="BC13" s="12">
        <f>'Monthly Budget'!AI13</f>
        <v>0</v>
      </c>
      <c r="BD13" s="41">
        <f t="shared" si="23"/>
        <v>0</v>
      </c>
      <c r="BE13" s="81">
        <f t="shared" si="24"/>
        <v>0</v>
      </c>
      <c r="BF13" s="19">
        <f>BE13/12</f>
        <v>0</v>
      </c>
      <c r="BG13" s="97">
        <f>BE13/(1950)</f>
        <v>0</v>
      </c>
      <c r="BH13" s="97">
        <f>BG13*Rates!F$3</f>
        <v>0</v>
      </c>
      <c r="BI13" s="97">
        <f t="shared" si="25"/>
        <v>0</v>
      </c>
      <c r="BJ13" s="4">
        <f t="shared" si="26"/>
        <v>0</v>
      </c>
      <c r="BK13" s="4">
        <f t="shared" si="27"/>
        <v>0</v>
      </c>
      <c r="BL13" s="4">
        <f t="shared" si="28"/>
        <v>0</v>
      </c>
      <c r="BM13" s="4">
        <f>BI13*(1+Rates!F$13)</f>
        <v>0</v>
      </c>
      <c r="BN13" s="4">
        <f t="shared" si="33"/>
        <v>0</v>
      </c>
      <c r="BO13" s="18"/>
      <c r="BP13" s="42">
        <f t="shared" si="34"/>
        <v>0</v>
      </c>
      <c r="BQ13" s="4"/>
      <c r="BR13" s="4"/>
    </row>
    <row r="14" spans="1:71" s="6" customFormat="1" ht="15" customHeight="1" x14ac:dyDescent="0.6">
      <c r="A14" s="216" t="str">
        <f>'Monthly Budget'!A14:B14</f>
        <v>Name (CY)</v>
      </c>
      <c r="B14" s="217"/>
      <c r="C14" s="12">
        <f>'Monthly Budget'!C14</f>
        <v>0</v>
      </c>
      <c r="D14" s="41">
        <f t="shared" si="0"/>
        <v>0</v>
      </c>
      <c r="E14" s="81">
        <f>'Monthly Budget'!E14</f>
        <v>0</v>
      </c>
      <c r="F14" s="19">
        <f>E14/12</f>
        <v>0</v>
      </c>
      <c r="G14" s="97">
        <f>E14/(1950)</f>
        <v>0</v>
      </c>
      <c r="H14" s="97">
        <f>G14*Rates!B$3</f>
        <v>0</v>
      </c>
      <c r="I14" s="97">
        <f t="shared" si="1"/>
        <v>0</v>
      </c>
      <c r="J14" s="4">
        <f t="shared" si="2"/>
        <v>0</v>
      </c>
      <c r="K14" s="4">
        <f t="shared" si="3"/>
        <v>0</v>
      </c>
      <c r="L14" s="4">
        <f t="shared" si="4"/>
        <v>0</v>
      </c>
      <c r="M14" s="4">
        <f>I14*(1+Rates!B$13)</f>
        <v>0</v>
      </c>
      <c r="N14" s="4">
        <f t="shared" si="29"/>
        <v>0</v>
      </c>
      <c r="O14" s="18"/>
      <c r="P14" s="12">
        <f>'Monthly Budget'!K14</f>
        <v>0</v>
      </c>
      <c r="Q14" s="41">
        <f t="shared" si="5"/>
        <v>0</v>
      </c>
      <c r="R14" s="81">
        <f t="shared" si="6"/>
        <v>0</v>
      </c>
      <c r="S14" s="19">
        <f>R14/12</f>
        <v>0</v>
      </c>
      <c r="T14" s="97">
        <f>R14/(1950)</f>
        <v>0</v>
      </c>
      <c r="U14" s="97">
        <f>T14*Rates!C$3</f>
        <v>0</v>
      </c>
      <c r="V14" s="97">
        <f t="shared" si="7"/>
        <v>0</v>
      </c>
      <c r="W14" s="4">
        <f t="shared" si="8"/>
        <v>0</v>
      </c>
      <c r="X14" s="4">
        <f t="shared" si="9"/>
        <v>0</v>
      </c>
      <c r="Y14" s="4">
        <f t="shared" si="10"/>
        <v>0</v>
      </c>
      <c r="Z14" s="4">
        <f>V14*(1+Rates!C$13)</f>
        <v>0</v>
      </c>
      <c r="AA14" s="4">
        <f t="shared" si="30"/>
        <v>0</v>
      </c>
      <c r="AB14" s="18"/>
      <c r="AC14" s="12">
        <f>'Monthly Budget'!S14</f>
        <v>0</v>
      </c>
      <c r="AD14" s="41">
        <f t="shared" si="11"/>
        <v>0</v>
      </c>
      <c r="AE14" s="81">
        <f t="shared" si="12"/>
        <v>0</v>
      </c>
      <c r="AF14" s="19">
        <f>AE14/12</f>
        <v>0</v>
      </c>
      <c r="AG14" s="97">
        <f>AE14/(1950)</f>
        <v>0</v>
      </c>
      <c r="AH14" s="97">
        <f>AG14*Rates!D$3</f>
        <v>0</v>
      </c>
      <c r="AI14" s="97">
        <f t="shared" si="13"/>
        <v>0</v>
      </c>
      <c r="AJ14" s="4">
        <f t="shared" si="14"/>
        <v>0</v>
      </c>
      <c r="AK14" s="4">
        <f t="shared" si="15"/>
        <v>0</v>
      </c>
      <c r="AL14" s="4">
        <f t="shared" si="16"/>
        <v>0</v>
      </c>
      <c r="AM14" s="4">
        <f>AI14*(1+Rates!D$13)</f>
        <v>0</v>
      </c>
      <c r="AN14" s="4">
        <f t="shared" si="31"/>
        <v>0</v>
      </c>
      <c r="AO14" s="18"/>
      <c r="AP14" s="12">
        <f>'Monthly Budget'!AA14</f>
        <v>0</v>
      </c>
      <c r="AQ14" s="41">
        <f t="shared" si="17"/>
        <v>0</v>
      </c>
      <c r="AR14" s="81">
        <f t="shared" si="18"/>
        <v>0</v>
      </c>
      <c r="AS14" s="19">
        <f>AR14/12</f>
        <v>0</v>
      </c>
      <c r="AT14" s="97">
        <f>AR14/(1950)</f>
        <v>0</v>
      </c>
      <c r="AU14" s="97">
        <f>AT14*Rates!E$3</f>
        <v>0</v>
      </c>
      <c r="AV14" s="97">
        <f t="shared" si="19"/>
        <v>0</v>
      </c>
      <c r="AW14" s="4">
        <f t="shared" si="20"/>
        <v>0</v>
      </c>
      <c r="AX14" s="4">
        <f t="shared" si="21"/>
        <v>0</v>
      </c>
      <c r="AY14" s="4">
        <f t="shared" si="22"/>
        <v>0</v>
      </c>
      <c r="AZ14" s="4">
        <f>AV14*(1+Rates!E$13)</f>
        <v>0</v>
      </c>
      <c r="BA14" s="4">
        <f t="shared" si="32"/>
        <v>0</v>
      </c>
      <c r="BB14" s="18"/>
      <c r="BC14" s="12">
        <f>'Monthly Budget'!AI14</f>
        <v>0</v>
      </c>
      <c r="BD14" s="41">
        <f t="shared" si="23"/>
        <v>0</v>
      </c>
      <c r="BE14" s="81">
        <f t="shared" si="24"/>
        <v>0</v>
      </c>
      <c r="BF14" s="19">
        <f>BE14/12</f>
        <v>0</v>
      </c>
      <c r="BG14" s="97">
        <f>BE14/(1950)</f>
        <v>0</v>
      </c>
      <c r="BH14" s="97">
        <f>BG14*Rates!F$3</f>
        <v>0</v>
      </c>
      <c r="BI14" s="97">
        <f t="shared" si="25"/>
        <v>0</v>
      </c>
      <c r="BJ14" s="4">
        <f t="shared" si="26"/>
        <v>0</v>
      </c>
      <c r="BK14" s="4">
        <f t="shared" si="27"/>
        <v>0</v>
      </c>
      <c r="BL14" s="4">
        <f t="shared" si="28"/>
        <v>0</v>
      </c>
      <c r="BM14" s="4">
        <f>BI14*(1+Rates!F$13)</f>
        <v>0</v>
      </c>
      <c r="BN14" s="4">
        <f t="shared" si="33"/>
        <v>0</v>
      </c>
      <c r="BO14" s="18"/>
      <c r="BP14" s="42">
        <f t="shared" si="34"/>
        <v>0</v>
      </c>
      <c r="BQ14" s="4"/>
      <c r="BR14" s="4"/>
    </row>
    <row r="15" spans="1:71" s="6" customFormat="1" ht="15" customHeight="1" x14ac:dyDescent="0.6">
      <c r="A15" s="216" t="str">
        <f>'Monthly Budget'!A15:B15</f>
        <v>Name (CY)</v>
      </c>
      <c r="B15" s="217"/>
      <c r="C15" s="12">
        <f>'Monthly Budget'!C15</f>
        <v>0</v>
      </c>
      <c r="D15" s="41">
        <f t="shared" si="0"/>
        <v>0</v>
      </c>
      <c r="E15" s="81">
        <f>'Monthly Budget'!E15</f>
        <v>0</v>
      </c>
      <c r="F15" s="19">
        <f>E15/12</f>
        <v>0</v>
      </c>
      <c r="G15" s="97">
        <f>E15/(1950)</f>
        <v>0</v>
      </c>
      <c r="H15" s="97">
        <f>G15*Rates!B$3</f>
        <v>0</v>
      </c>
      <c r="I15" s="97">
        <f t="shared" si="1"/>
        <v>0</v>
      </c>
      <c r="J15" s="4">
        <f t="shared" si="2"/>
        <v>0</v>
      </c>
      <c r="K15" s="4">
        <f t="shared" si="3"/>
        <v>0</v>
      </c>
      <c r="L15" s="4">
        <f t="shared" si="4"/>
        <v>0</v>
      </c>
      <c r="M15" s="4">
        <f>I15*(1+Rates!B$13)</f>
        <v>0</v>
      </c>
      <c r="N15" s="4">
        <f t="shared" si="29"/>
        <v>0</v>
      </c>
      <c r="O15" s="18"/>
      <c r="P15" s="12">
        <f>'Monthly Budget'!K15</f>
        <v>0</v>
      </c>
      <c r="Q15" s="41">
        <f t="shared" si="5"/>
        <v>0</v>
      </c>
      <c r="R15" s="81">
        <f t="shared" si="6"/>
        <v>0</v>
      </c>
      <c r="S15" s="19">
        <f>R15/12</f>
        <v>0</v>
      </c>
      <c r="T15" s="97">
        <f>R15/(1950)</f>
        <v>0</v>
      </c>
      <c r="U15" s="97">
        <f>T15*Rates!C$3</f>
        <v>0</v>
      </c>
      <c r="V15" s="97">
        <f t="shared" si="7"/>
        <v>0</v>
      </c>
      <c r="W15" s="4">
        <f t="shared" si="8"/>
        <v>0</v>
      </c>
      <c r="X15" s="4">
        <f t="shared" si="9"/>
        <v>0</v>
      </c>
      <c r="Y15" s="4">
        <f t="shared" si="10"/>
        <v>0</v>
      </c>
      <c r="Z15" s="4">
        <f>V15*(1+Rates!C$13)</f>
        <v>0</v>
      </c>
      <c r="AA15" s="4">
        <f t="shared" si="30"/>
        <v>0</v>
      </c>
      <c r="AB15" s="18"/>
      <c r="AC15" s="12">
        <f>'Monthly Budget'!S15</f>
        <v>0</v>
      </c>
      <c r="AD15" s="41">
        <f t="shared" si="11"/>
        <v>0</v>
      </c>
      <c r="AE15" s="81">
        <f t="shared" si="12"/>
        <v>0</v>
      </c>
      <c r="AF15" s="19">
        <f>AE15/12</f>
        <v>0</v>
      </c>
      <c r="AG15" s="97">
        <f>AE15/(1950)</f>
        <v>0</v>
      </c>
      <c r="AH15" s="97">
        <f>AG15*Rates!D$3</f>
        <v>0</v>
      </c>
      <c r="AI15" s="97">
        <f t="shared" si="13"/>
        <v>0</v>
      </c>
      <c r="AJ15" s="4">
        <f t="shared" si="14"/>
        <v>0</v>
      </c>
      <c r="AK15" s="4">
        <f t="shared" si="15"/>
        <v>0</v>
      </c>
      <c r="AL15" s="4">
        <f t="shared" si="16"/>
        <v>0</v>
      </c>
      <c r="AM15" s="4">
        <f>AI15*(1+Rates!D$13)</f>
        <v>0</v>
      </c>
      <c r="AN15" s="4">
        <f t="shared" si="31"/>
        <v>0</v>
      </c>
      <c r="AO15" s="18"/>
      <c r="AP15" s="12">
        <f>'Monthly Budget'!AA15</f>
        <v>0</v>
      </c>
      <c r="AQ15" s="41">
        <f t="shared" si="17"/>
        <v>0</v>
      </c>
      <c r="AR15" s="81">
        <f t="shared" si="18"/>
        <v>0</v>
      </c>
      <c r="AS15" s="19">
        <f>AR15/12</f>
        <v>0</v>
      </c>
      <c r="AT15" s="97">
        <f>AR15/(1950)</f>
        <v>0</v>
      </c>
      <c r="AU15" s="97">
        <f>AT15*Rates!E$3</f>
        <v>0</v>
      </c>
      <c r="AV15" s="97">
        <f t="shared" si="19"/>
        <v>0</v>
      </c>
      <c r="AW15" s="4">
        <f t="shared" si="20"/>
        <v>0</v>
      </c>
      <c r="AX15" s="4">
        <f t="shared" si="21"/>
        <v>0</v>
      </c>
      <c r="AY15" s="4">
        <f t="shared" si="22"/>
        <v>0</v>
      </c>
      <c r="AZ15" s="4">
        <f>AV15*(1+Rates!E$13)</f>
        <v>0</v>
      </c>
      <c r="BA15" s="4">
        <f t="shared" si="32"/>
        <v>0</v>
      </c>
      <c r="BB15" s="18"/>
      <c r="BC15" s="12">
        <f>'Monthly Budget'!AI15</f>
        <v>0</v>
      </c>
      <c r="BD15" s="41">
        <f t="shared" si="23"/>
        <v>0</v>
      </c>
      <c r="BE15" s="81">
        <f t="shared" si="24"/>
        <v>0</v>
      </c>
      <c r="BF15" s="19">
        <f>BE15/12</f>
        <v>0</v>
      </c>
      <c r="BG15" s="97">
        <f>BE15/(1950)</f>
        <v>0</v>
      </c>
      <c r="BH15" s="97">
        <f>BG15*Rates!F$3</f>
        <v>0</v>
      </c>
      <c r="BI15" s="97">
        <f t="shared" si="25"/>
        <v>0</v>
      </c>
      <c r="BJ15" s="4">
        <f t="shared" si="26"/>
        <v>0</v>
      </c>
      <c r="BK15" s="4">
        <f t="shared" si="27"/>
        <v>0</v>
      </c>
      <c r="BL15" s="4">
        <f t="shared" si="28"/>
        <v>0</v>
      </c>
      <c r="BM15" s="4">
        <f>BI15*(1+Rates!F$13)</f>
        <v>0</v>
      </c>
      <c r="BN15" s="4">
        <f t="shared" si="33"/>
        <v>0</v>
      </c>
      <c r="BO15" s="18"/>
      <c r="BP15" s="42">
        <f t="shared" si="34"/>
        <v>0</v>
      </c>
      <c r="BQ15" s="4"/>
      <c r="BR15" s="4"/>
    </row>
    <row r="16" spans="1:71" s="6" customFormat="1" ht="15" customHeight="1" x14ac:dyDescent="0.6">
      <c r="A16" s="216" t="str">
        <f>'Monthly Budget'!A16:B16</f>
        <v>Name (CY)</v>
      </c>
      <c r="B16" s="217"/>
      <c r="C16" s="12">
        <f>'Monthly Budget'!C16</f>
        <v>0</v>
      </c>
      <c r="D16" s="41">
        <f t="shared" si="0"/>
        <v>0</v>
      </c>
      <c r="E16" s="81">
        <f>'Monthly Budget'!E16</f>
        <v>0</v>
      </c>
      <c r="F16" s="19">
        <f>E16/12</f>
        <v>0</v>
      </c>
      <c r="G16" s="97">
        <f>E16/(1950)</f>
        <v>0</v>
      </c>
      <c r="H16" s="97">
        <f>G16*Rates!B$3</f>
        <v>0</v>
      </c>
      <c r="I16" s="97">
        <f t="shared" si="1"/>
        <v>0</v>
      </c>
      <c r="J16" s="4">
        <f t="shared" si="2"/>
        <v>0</v>
      </c>
      <c r="K16" s="4">
        <f t="shared" si="3"/>
        <v>0</v>
      </c>
      <c r="L16" s="4">
        <f t="shared" si="4"/>
        <v>0</v>
      </c>
      <c r="M16" s="4">
        <f>I16*(1+Rates!B$13)</f>
        <v>0</v>
      </c>
      <c r="N16" s="4">
        <f t="shared" si="29"/>
        <v>0</v>
      </c>
      <c r="O16" s="18"/>
      <c r="P16" s="12">
        <f>'Monthly Budget'!K16</f>
        <v>0</v>
      </c>
      <c r="Q16" s="41">
        <f t="shared" si="5"/>
        <v>0</v>
      </c>
      <c r="R16" s="81">
        <f t="shared" si="6"/>
        <v>0</v>
      </c>
      <c r="S16" s="19">
        <f>R16/12</f>
        <v>0</v>
      </c>
      <c r="T16" s="97">
        <f>R16/(1950)</f>
        <v>0</v>
      </c>
      <c r="U16" s="97">
        <f>T16*Rates!C$3</f>
        <v>0</v>
      </c>
      <c r="V16" s="97">
        <f t="shared" si="7"/>
        <v>0</v>
      </c>
      <c r="W16" s="4">
        <f t="shared" si="8"/>
        <v>0</v>
      </c>
      <c r="X16" s="4">
        <f t="shared" si="9"/>
        <v>0</v>
      </c>
      <c r="Y16" s="4">
        <f t="shared" si="10"/>
        <v>0</v>
      </c>
      <c r="Z16" s="4">
        <f>V16*(1+Rates!C$13)</f>
        <v>0</v>
      </c>
      <c r="AA16" s="4">
        <f t="shared" si="30"/>
        <v>0</v>
      </c>
      <c r="AB16" s="18"/>
      <c r="AC16" s="12">
        <f>'Monthly Budget'!S16</f>
        <v>0</v>
      </c>
      <c r="AD16" s="41">
        <f t="shared" si="11"/>
        <v>0</v>
      </c>
      <c r="AE16" s="81">
        <f t="shared" si="12"/>
        <v>0</v>
      </c>
      <c r="AF16" s="19">
        <f>AE16/12</f>
        <v>0</v>
      </c>
      <c r="AG16" s="97">
        <f>AE16/(1950)</f>
        <v>0</v>
      </c>
      <c r="AH16" s="97">
        <f>AG16*Rates!D$3</f>
        <v>0</v>
      </c>
      <c r="AI16" s="97">
        <f t="shared" si="13"/>
        <v>0</v>
      </c>
      <c r="AJ16" s="4">
        <f t="shared" si="14"/>
        <v>0</v>
      </c>
      <c r="AK16" s="4">
        <f t="shared" si="15"/>
        <v>0</v>
      </c>
      <c r="AL16" s="4">
        <f t="shared" si="16"/>
        <v>0</v>
      </c>
      <c r="AM16" s="4">
        <f>AI16*(1+Rates!D$13)</f>
        <v>0</v>
      </c>
      <c r="AN16" s="4">
        <f t="shared" si="31"/>
        <v>0</v>
      </c>
      <c r="AO16" s="18"/>
      <c r="AP16" s="12">
        <f>'Monthly Budget'!AA16</f>
        <v>0</v>
      </c>
      <c r="AQ16" s="41">
        <f t="shared" si="17"/>
        <v>0</v>
      </c>
      <c r="AR16" s="81">
        <f t="shared" si="18"/>
        <v>0</v>
      </c>
      <c r="AS16" s="19">
        <f>AR16/12</f>
        <v>0</v>
      </c>
      <c r="AT16" s="97">
        <f>AR16/(1950)</f>
        <v>0</v>
      </c>
      <c r="AU16" s="97">
        <f>AT16*Rates!E$3</f>
        <v>0</v>
      </c>
      <c r="AV16" s="97">
        <f t="shared" si="19"/>
        <v>0</v>
      </c>
      <c r="AW16" s="4">
        <f t="shared" si="20"/>
        <v>0</v>
      </c>
      <c r="AX16" s="4">
        <f t="shared" si="21"/>
        <v>0</v>
      </c>
      <c r="AY16" s="4">
        <f t="shared" si="22"/>
        <v>0</v>
      </c>
      <c r="AZ16" s="4">
        <f>AV16*(1+Rates!E$13)</f>
        <v>0</v>
      </c>
      <c r="BA16" s="4">
        <f t="shared" si="32"/>
        <v>0</v>
      </c>
      <c r="BB16" s="18"/>
      <c r="BC16" s="12">
        <f>'Monthly Budget'!AI16</f>
        <v>0</v>
      </c>
      <c r="BD16" s="41">
        <f t="shared" si="23"/>
        <v>0</v>
      </c>
      <c r="BE16" s="81">
        <f t="shared" si="24"/>
        <v>0</v>
      </c>
      <c r="BF16" s="19">
        <f>BE16/12</f>
        <v>0</v>
      </c>
      <c r="BG16" s="97">
        <f>BE16/(1950)</f>
        <v>0</v>
      </c>
      <c r="BH16" s="97">
        <f>BG16*Rates!F$3</f>
        <v>0</v>
      </c>
      <c r="BI16" s="97">
        <f t="shared" si="25"/>
        <v>0</v>
      </c>
      <c r="BJ16" s="4">
        <f t="shared" si="26"/>
        <v>0</v>
      </c>
      <c r="BK16" s="4">
        <f t="shared" si="27"/>
        <v>0</v>
      </c>
      <c r="BL16" s="4">
        <f t="shared" si="28"/>
        <v>0</v>
      </c>
      <c r="BM16" s="4">
        <f>BI16*(1+Rates!F$13)</f>
        <v>0</v>
      </c>
      <c r="BN16" s="4">
        <f t="shared" si="33"/>
        <v>0</v>
      </c>
      <c r="BO16" s="18"/>
      <c r="BP16" s="42">
        <f t="shared" si="34"/>
        <v>0</v>
      </c>
      <c r="BQ16" s="4"/>
      <c r="BR16" s="4"/>
    </row>
    <row r="17" spans="1:71" s="6" customFormat="1" ht="15" customHeight="1" thickBot="1" x14ac:dyDescent="0.75">
      <c r="A17" s="216" t="str">
        <f>'Monthly Budget'!A17:B17</f>
        <v>Name (CY)</v>
      </c>
      <c r="B17" s="217"/>
      <c r="C17" s="41">
        <f>'Monthly Budget'!C17</f>
        <v>0</v>
      </c>
      <c r="D17" s="41">
        <f t="shared" si="0"/>
        <v>0</v>
      </c>
      <c r="E17" s="81">
        <f>'Monthly Budget'!E17</f>
        <v>0</v>
      </c>
      <c r="F17" s="19">
        <f>E17/12</f>
        <v>0</v>
      </c>
      <c r="G17" s="97">
        <f>E17/(1950)</f>
        <v>0</v>
      </c>
      <c r="H17" s="97">
        <f>G17*Rates!B$3</f>
        <v>0</v>
      </c>
      <c r="I17" s="97">
        <f t="shared" si="1"/>
        <v>0</v>
      </c>
      <c r="J17" s="4">
        <f t="shared" si="2"/>
        <v>0</v>
      </c>
      <c r="K17" s="4">
        <f t="shared" si="3"/>
        <v>0</v>
      </c>
      <c r="L17" s="4">
        <f t="shared" si="4"/>
        <v>0</v>
      </c>
      <c r="M17" s="4">
        <f>I17*(1+Rates!B$13)</f>
        <v>0</v>
      </c>
      <c r="N17" s="4">
        <f t="shared" si="29"/>
        <v>0</v>
      </c>
      <c r="O17" s="18"/>
      <c r="P17" s="41">
        <f>'Monthly Budget'!K17</f>
        <v>0</v>
      </c>
      <c r="Q17" s="41">
        <f t="shared" si="5"/>
        <v>0</v>
      </c>
      <c r="R17" s="81">
        <f t="shared" si="6"/>
        <v>0</v>
      </c>
      <c r="S17" s="19">
        <f>R17/12</f>
        <v>0</v>
      </c>
      <c r="T17" s="97">
        <f>R17/(1950)</f>
        <v>0</v>
      </c>
      <c r="U17" s="97">
        <f>T17*Rates!C$3</f>
        <v>0</v>
      </c>
      <c r="V17" s="97">
        <f t="shared" si="7"/>
        <v>0</v>
      </c>
      <c r="W17" s="4">
        <f t="shared" si="8"/>
        <v>0</v>
      </c>
      <c r="X17" s="4">
        <f t="shared" si="9"/>
        <v>0</v>
      </c>
      <c r="Y17" s="4">
        <f t="shared" si="10"/>
        <v>0</v>
      </c>
      <c r="Z17" s="4">
        <f>V17*(1+Rates!C$13)</f>
        <v>0</v>
      </c>
      <c r="AA17" s="4">
        <f t="shared" si="30"/>
        <v>0</v>
      </c>
      <c r="AB17" s="18"/>
      <c r="AC17" s="41">
        <f>'Monthly Budget'!S17</f>
        <v>0</v>
      </c>
      <c r="AD17" s="41">
        <f t="shared" si="11"/>
        <v>0</v>
      </c>
      <c r="AE17" s="81">
        <f t="shared" si="12"/>
        <v>0</v>
      </c>
      <c r="AF17" s="19">
        <f>AE17/12</f>
        <v>0</v>
      </c>
      <c r="AG17" s="97">
        <f>AE17/(1950)</f>
        <v>0</v>
      </c>
      <c r="AH17" s="97">
        <f>AG17*Rates!D$3</f>
        <v>0</v>
      </c>
      <c r="AI17" s="97">
        <f t="shared" si="13"/>
        <v>0</v>
      </c>
      <c r="AJ17" s="4">
        <f t="shared" si="14"/>
        <v>0</v>
      </c>
      <c r="AK17" s="4">
        <f t="shared" si="15"/>
        <v>0</v>
      </c>
      <c r="AL17" s="4">
        <f t="shared" si="16"/>
        <v>0</v>
      </c>
      <c r="AM17" s="4">
        <f>AI17*(1+Rates!D$13)</f>
        <v>0</v>
      </c>
      <c r="AN17" s="4">
        <f t="shared" si="31"/>
        <v>0</v>
      </c>
      <c r="AO17" s="18"/>
      <c r="AP17" s="41">
        <f>'Monthly Budget'!AA17</f>
        <v>0</v>
      </c>
      <c r="AQ17" s="41">
        <f t="shared" si="17"/>
        <v>0</v>
      </c>
      <c r="AR17" s="81">
        <f t="shared" si="18"/>
        <v>0</v>
      </c>
      <c r="AS17" s="19">
        <f>AR17/12</f>
        <v>0</v>
      </c>
      <c r="AT17" s="97">
        <f>AR17/(1950)</f>
        <v>0</v>
      </c>
      <c r="AU17" s="97">
        <f>AT17*Rates!E$3</f>
        <v>0</v>
      </c>
      <c r="AV17" s="97">
        <f t="shared" si="19"/>
        <v>0</v>
      </c>
      <c r="AW17" s="4">
        <f t="shared" si="20"/>
        <v>0</v>
      </c>
      <c r="AX17" s="4">
        <f t="shared" si="21"/>
        <v>0</v>
      </c>
      <c r="AY17" s="4">
        <f t="shared" si="22"/>
        <v>0</v>
      </c>
      <c r="AZ17" s="4">
        <f>AV17*(1+Rates!E$13)</f>
        <v>0</v>
      </c>
      <c r="BA17" s="4">
        <f t="shared" si="32"/>
        <v>0</v>
      </c>
      <c r="BB17" s="18"/>
      <c r="BC17" s="41">
        <f>'Monthly Budget'!AI17</f>
        <v>0</v>
      </c>
      <c r="BD17" s="41">
        <f t="shared" si="23"/>
        <v>0</v>
      </c>
      <c r="BE17" s="81">
        <f t="shared" si="24"/>
        <v>0</v>
      </c>
      <c r="BF17" s="19">
        <f>BE17/12</f>
        <v>0</v>
      </c>
      <c r="BG17" s="97">
        <f>BE17/(1950)</f>
        <v>0</v>
      </c>
      <c r="BH17" s="97">
        <f>BG17*Rates!F$3</f>
        <v>0</v>
      </c>
      <c r="BI17" s="97">
        <f t="shared" si="25"/>
        <v>0</v>
      </c>
      <c r="BJ17" s="4">
        <f t="shared" si="26"/>
        <v>0</v>
      </c>
      <c r="BK17" s="4">
        <f t="shared" si="27"/>
        <v>0</v>
      </c>
      <c r="BL17" s="4">
        <f t="shared" si="28"/>
        <v>0</v>
      </c>
      <c r="BM17" s="4">
        <f>BI17*(1+Rates!F$13)</f>
        <v>0</v>
      </c>
      <c r="BN17" s="4">
        <f t="shared" si="33"/>
        <v>0</v>
      </c>
      <c r="BO17" s="18"/>
      <c r="BP17" s="42">
        <f>N17+AA17+AN17+BA17+BN17</f>
        <v>0</v>
      </c>
      <c r="BQ17" s="4"/>
      <c r="BR17" s="4"/>
    </row>
    <row r="18" spans="1:71" ht="15" customHeight="1" thickTop="1" x14ac:dyDescent="0.6">
      <c r="A18" s="211" t="s">
        <v>2</v>
      </c>
      <c r="B18" s="212"/>
      <c r="C18" s="62"/>
      <c r="D18" s="62"/>
      <c r="E18" s="82"/>
      <c r="F18" s="63"/>
      <c r="G18" s="98"/>
      <c r="H18" s="98"/>
      <c r="I18" s="98"/>
      <c r="J18" s="63"/>
      <c r="K18" s="63"/>
      <c r="L18" s="63"/>
      <c r="M18" s="63"/>
      <c r="N18" s="63">
        <f>SUM(N8:N17)</f>
        <v>0</v>
      </c>
      <c r="O18" s="64"/>
      <c r="P18" s="62"/>
      <c r="Q18" s="62"/>
      <c r="R18" s="82"/>
      <c r="S18" s="63"/>
      <c r="T18" s="98"/>
      <c r="U18" s="98"/>
      <c r="V18" s="98"/>
      <c r="W18" s="63"/>
      <c r="X18" s="63"/>
      <c r="Y18" s="63"/>
      <c r="Z18" s="63"/>
      <c r="AA18" s="63">
        <f>SUM(AA8:AA17)</f>
        <v>0</v>
      </c>
      <c r="AB18" s="64"/>
      <c r="AC18" s="62"/>
      <c r="AD18" s="62"/>
      <c r="AE18" s="82"/>
      <c r="AF18" s="63"/>
      <c r="AG18" s="98"/>
      <c r="AH18" s="98"/>
      <c r="AI18" s="98"/>
      <c r="AJ18" s="63"/>
      <c r="AK18" s="63"/>
      <c r="AL18" s="63"/>
      <c r="AM18" s="63"/>
      <c r="AN18" s="63">
        <f>SUM(AN8:AN17)</f>
        <v>0</v>
      </c>
      <c r="AO18" s="64"/>
      <c r="AP18" s="62"/>
      <c r="AQ18" s="62"/>
      <c r="AR18" s="82"/>
      <c r="AS18" s="63"/>
      <c r="AT18" s="98"/>
      <c r="AU18" s="98"/>
      <c r="AV18" s="98"/>
      <c r="AW18" s="63"/>
      <c r="AX18" s="63"/>
      <c r="AY18" s="63"/>
      <c r="AZ18" s="63"/>
      <c r="BA18" s="63">
        <f>SUM(BA8:BA17)</f>
        <v>0</v>
      </c>
      <c r="BB18" s="64"/>
      <c r="BC18" s="62"/>
      <c r="BD18" s="62"/>
      <c r="BE18" s="82"/>
      <c r="BF18" s="63"/>
      <c r="BG18" s="98"/>
      <c r="BH18" s="98"/>
      <c r="BI18" s="98"/>
      <c r="BJ18" s="63"/>
      <c r="BK18" s="63"/>
      <c r="BL18" s="63"/>
      <c r="BM18" s="63"/>
      <c r="BN18" s="63">
        <f>SUM(BN8:BN17)</f>
        <v>0</v>
      </c>
      <c r="BO18" s="64"/>
      <c r="BP18" s="66">
        <f>N18+AA18+AN18+BA18+BN18</f>
        <v>0</v>
      </c>
      <c r="BR18" s="4"/>
    </row>
    <row r="19" spans="1:71" ht="15" customHeight="1" x14ac:dyDescent="0.6">
      <c r="A19" s="216"/>
      <c r="B19" s="210"/>
      <c r="C19" s="43"/>
      <c r="D19" s="43"/>
      <c r="E19" s="58"/>
      <c r="O19" s="18"/>
      <c r="P19" s="43"/>
      <c r="Q19" s="43"/>
      <c r="AB19" s="18"/>
      <c r="AC19" s="43"/>
      <c r="AD19" s="43"/>
      <c r="AO19" s="18"/>
      <c r="AP19" s="43"/>
      <c r="AQ19" s="43"/>
      <c r="BB19" s="18"/>
      <c r="BC19" s="43"/>
      <c r="BD19" s="43"/>
      <c r="BO19" s="18"/>
      <c r="BP19" s="42"/>
      <c r="BR19" s="4"/>
      <c r="BS19" s="7"/>
    </row>
    <row r="20" spans="1:71" ht="15" customHeight="1" x14ac:dyDescent="0.7">
      <c r="A20" s="222" t="s">
        <v>15</v>
      </c>
      <c r="B20" s="223"/>
      <c r="C20" s="43"/>
      <c r="D20" s="43"/>
      <c r="E20" s="58"/>
      <c r="O20" s="18"/>
      <c r="P20" s="43"/>
      <c r="Q20" s="43"/>
      <c r="AB20" s="18"/>
      <c r="AC20" s="43"/>
      <c r="AD20" s="43"/>
      <c r="AO20" s="18"/>
      <c r="AP20" s="43"/>
      <c r="AQ20" s="43"/>
      <c r="BB20" s="18"/>
      <c r="BC20" s="43"/>
      <c r="BD20" s="43"/>
      <c r="BO20" s="18"/>
      <c r="BP20" s="42"/>
      <c r="BR20" s="4"/>
    </row>
    <row r="21" spans="1:71" s="6" customFormat="1" ht="15" customHeight="1" x14ac:dyDescent="0.6">
      <c r="A21" s="216" t="str">
        <f>'Monthly Budget'!A23</f>
        <v>Martinez Machain, Carla</v>
      </c>
      <c r="B21" s="217"/>
      <c r="C21" s="12">
        <f>'Monthly Budget'!C23</f>
        <v>2</v>
      </c>
      <c r="D21" s="41">
        <f>C21/12*1950</f>
        <v>325</v>
      </c>
      <c r="E21" s="81">
        <f>'Monthly Budget'!E23</f>
        <v>49733.333333333336</v>
      </c>
      <c r="F21" s="19">
        <f>E21/3</f>
        <v>16577.777777777777</v>
      </c>
      <c r="G21" s="97">
        <f>E21/(1950*0.25)</f>
        <v>102.01709401709402</v>
      </c>
      <c r="H21" s="97">
        <f>G21*Rates!B$4</f>
        <v>14.282393162393165</v>
      </c>
      <c r="I21" s="97">
        <f>G21+H21</f>
        <v>116.29948717948719</v>
      </c>
      <c r="J21" s="4">
        <f>ROUND(D21*G21, 0)</f>
        <v>33156</v>
      </c>
      <c r="K21" s="4">
        <f>D21*H21</f>
        <v>4641.7777777777783</v>
      </c>
      <c r="L21" s="4">
        <f>J21+K21</f>
        <v>37797.777777777781</v>
      </c>
      <c r="M21" s="4">
        <f>I21*(1+Rates!B$13)</f>
        <v>186.66067692307692</v>
      </c>
      <c r="N21" s="4">
        <f>D21*M21</f>
        <v>60664.72</v>
      </c>
      <c r="O21" s="18"/>
      <c r="P21" s="12">
        <f>'Monthly Budget'!K23</f>
        <v>0</v>
      </c>
      <c r="Q21" s="41">
        <f>P21/12*1950</f>
        <v>0</v>
      </c>
      <c r="R21" s="81">
        <f>E21*1.02</f>
        <v>50728</v>
      </c>
      <c r="S21" s="19">
        <f>R21/3</f>
        <v>16909.333333333332</v>
      </c>
      <c r="T21" s="97">
        <f>R21/(1950*0.25)</f>
        <v>104.05743589743589</v>
      </c>
      <c r="U21" s="97">
        <f>T21*Rates!C$4</f>
        <v>15.088328205128203</v>
      </c>
      <c r="V21" s="97">
        <f>T21+U21</f>
        <v>119.1457641025641</v>
      </c>
      <c r="W21" s="4">
        <f>ROUND(S21*P21, 0)</f>
        <v>0</v>
      </c>
      <c r="X21" s="4">
        <f>ROUND(Q21*U21, 0)</f>
        <v>0</v>
      </c>
      <c r="Y21" s="4">
        <f>W21+X21</f>
        <v>0</v>
      </c>
      <c r="Z21" s="4">
        <f>V21*(1+Rates!C$13)</f>
        <v>191.82468020512817</v>
      </c>
      <c r="AA21" s="4">
        <f>Q21*Z21</f>
        <v>0</v>
      </c>
      <c r="AB21" s="18"/>
      <c r="AC21" s="12">
        <f>'Monthly Budget'!S23</f>
        <v>0</v>
      </c>
      <c r="AD21" s="41">
        <f>AC21/12*1950</f>
        <v>0</v>
      </c>
      <c r="AE21" s="81">
        <f>R21*1.02</f>
        <v>51742.559999999998</v>
      </c>
      <c r="AF21" s="19">
        <f>AE21/3</f>
        <v>17247.52</v>
      </c>
      <c r="AG21" s="97">
        <f>AE21/(1950*0.25)</f>
        <v>106.13858461538462</v>
      </c>
      <c r="AH21" s="97">
        <f>AG21*Rates!D$4</f>
        <v>15.390094769230767</v>
      </c>
      <c r="AI21" s="97">
        <f>AG21+AH21</f>
        <v>121.52867938461539</v>
      </c>
      <c r="AJ21" s="4">
        <f>ROUND(AF21*AC21, 0)</f>
        <v>0</v>
      </c>
      <c r="AK21" s="4">
        <f>ROUND(AD21*AH21, 0)</f>
        <v>0</v>
      </c>
      <c r="AL21" s="4">
        <f>AJ21+AK21</f>
        <v>0</v>
      </c>
      <c r="AM21" s="4">
        <f>AI21*(1+Rates!D$13)</f>
        <v>195.66117380923075</v>
      </c>
      <c r="AN21" s="4">
        <f>AD21*AM21</f>
        <v>0</v>
      </c>
      <c r="AO21" s="18"/>
      <c r="AP21" s="12">
        <f>'Monthly Budget'!AA23</f>
        <v>0</v>
      </c>
      <c r="AQ21" s="41">
        <f>AP21/12*1950</f>
        <v>0</v>
      </c>
      <c r="AR21" s="81">
        <f>AE21*1.02</f>
        <v>52777.411199999995</v>
      </c>
      <c r="AS21" s="19">
        <f>AR21/3</f>
        <v>17592.470399999998</v>
      </c>
      <c r="AT21" s="97">
        <f>AR21/(1950*0.25)</f>
        <v>108.2613563076923</v>
      </c>
      <c r="AU21" s="97">
        <f>AT21*Rates!E$4</f>
        <v>15.697896664615381</v>
      </c>
      <c r="AV21" s="97">
        <f>AT21+AU21</f>
        <v>123.95925297230768</v>
      </c>
      <c r="AW21" s="4">
        <f>ROUND(AS21*AP21, 0)</f>
        <v>0</v>
      </c>
      <c r="AX21" s="4">
        <f>ROUND(AQ21*AU21, 0)</f>
        <v>0</v>
      </c>
      <c r="AY21" s="4">
        <f>AW21+AX21</f>
        <v>0</v>
      </c>
      <c r="AZ21" s="4">
        <f>AV21*(1+Rates!E$13)</f>
        <v>199.57439728541536</v>
      </c>
      <c r="BA21" s="4">
        <f>AQ21*AZ21</f>
        <v>0</v>
      </c>
      <c r="BB21" s="18"/>
      <c r="BC21" s="12">
        <f>'Monthly Budget'!AI23</f>
        <v>0</v>
      </c>
      <c r="BD21" s="41">
        <f>BC21/12*1950</f>
        <v>0</v>
      </c>
      <c r="BE21" s="81">
        <f>AR21*1.02</f>
        <v>53832.959423999993</v>
      </c>
      <c r="BF21" s="19">
        <f>BE21/3</f>
        <v>17944.319807999997</v>
      </c>
      <c r="BG21" s="97">
        <f>BE21/(1950*0.25)</f>
        <v>110.42658343384613</v>
      </c>
      <c r="BH21" s="97">
        <f>BG21*Rates!F$4</f>
        <v>16.011854597907689</v>
      </c>
      <c r="BI21" s="97">
        <f>BG21+BH21</f>
        <v>126.43843803175382</v>
      </c>
      <c r="BJ21" s="4">
        <f>ROUND(BF21*BC21, 0)</f>
        <v>0</v>
      </c>
      <c r="BK21" s="4">
        <f>ROUND(BD21*BH21, 0)</f>
        <v>0</v>
      </c>
      <c r="BL21" s="4">
        <f>BJ21+BK21</f>
        <v>0</v>
      </c>
      <c r="BM21" s="4">
        <f>BI21*(1+Rates!F$13)</f>
        <v>203.56588523112364</v>
      </c>
      <c r="BN21" s="4">
        <f>BD21*BM21</f>
        <v>0</v>
      </c>
      <c r="BO21" s="18"/>
      <c r="BP21" s="42">
        <f t="shared" ref="BP21:BP26" si="35">N21+AA21+AN21+BA21+BN21</f>
        <v>60664.72</v>
      </c>
      <c r="BQ21" s="4"/>
      <c r="BR21" s="4"/>
    </row>
    <row r="22" spans="1:71" s="6" customFormat="1" ht="15" customHeight="1" x14ac:dyDescent="0.6">
      <c r="A22" s="216" t="str">
        <f>'Monthly Budget'!A24</f>
        <v>Name</v>
      </c>
      <c r="B22" s="217"/>
      <c r="C22" s="12">
        <f>'Monthly Budget'!C24</f>
        <v>0</v>
      </c>
      <c r="D22" s="41">
        <f>C22/12*1950</f>
        <v>0</v>
      </c>
      <c r="E22" s="81">
        <f>'Monthly Budget'!E24</f>
        <v>0</v>
      </c>
      <c r="F22" s="19">
        <f>E22/3</f>
        <v>0</v>
      </c>
      <c r="G22" s="97">
        <f>E22/(1950*0.25)</f>
        <v>0</v>
      </c>
      <c r="H22" s="97">
        <f>G22*Rates!B$4</f>
        <v>0</v>
      </c>
      <c r="I22" s="97">
        <f>G22+H22</f>
        <v>0</v>
      </c>
      <c r="J22" s="4">
        <f>ROUND(D22*G22, 0)</f>
        <v>0</v>
      </c>
      <c r="K22" s="4">
        <f>D22*H22</f>
        <v>0</v>
      </c>
      <c r="L22" s="4">
        <f>J22+K22</f>
        <v>0</v>
      </c>
      <c r="M22" s="4">
        <f>I22*(1+Rates!B$13)</f>
        <v>0</v>
      </c>
      <c r="N22" s="4">
        <f>D22*M22</f>
        <v>0</v>
      </c>
      <c r="O22" s="18"/>
      <c r="P22" s="12">
        <f>'Monthly Budget'!K24</f>
        <v>0</v>
      </c>
      <c r="Q22" s="41">
        <f>P22/12*1950</f>
        <v>0</v>
      </c>
      <c r="R22" s="81">
        <f>E22*1.02</f>
        <v>0</v>
      </c>
      <c r="S22" s="19">
        <f>R22/3</f>
        <v>0</v>
      </c>
      <c r="T22" s="97">
        <f>R22/(1950*0.25)</f>
        <v>0</v>
      </c>
      <c r="U22" s="97">
        <f>T22*Rates!C$4</f>
        <v>0</v>
      </c>
      <c r="V22" s="97">
        <f>T22+U22</f>
        <v>0</v>
      </c>
      <c r="W22" s="4">
        <f>ROUND(S22*P22, 0)</f>
        <v>0</v>
      </c>
      <c r="X22" s="4">
        <f>ROUND(Q22*U22, 0)</f>
        <v>0</v>
      </c>
      <c r="Y22" s="4">
        <f>W22+X22</f>
        <v>0</v>
      </c>
      <c r="Z22" s="4">
        <f>V22*(1+Rates!C$13)</f>
        <v>0</v>
      </c>
      <c r="AA22" s="4">
        <f>Q22*Z22</f>
        <v>0</v>
      </c>
      <c r="AB22" s="18"/>
      <c r="AC22" s="12">
        <f>'Monthly Budget'!S24</f>
        <v>0</v>
      </c>
      <c r="AD22" s="41">
        <f>AC22/12*1950</f>
        <v>0</v>
      </c>
      <c r="AE22" s="81">
        <f>R22*1.02</f>
        <v>0</v>
      </c>
      <c r="AF22" s="19">
        <f>AE22/3</f>
        <v>0</v>
      </c>
      <c r="AG22" s="97">
        <f>AE22/(1950*0.25)</f>
        <v>0</v>
      </c>
      <c r="AH22" s="97">
        <f>AG22*Rates!D$4</f>
        <v>0</v>
      </c>
      <c r="AI22" s="97">
        <f>AG22+AH22</f>
        <v>0</v>
      </c>
      <c r="AJ22" s="4">
        <f>ROUND(AF22*AC22, 0)</f>
        <v>0</v>
      </c>
      <c r="AK22" s="4">
        <f>ROUND(AD22*AH22, 0)</f>
        <v>0</v>
      </c>
      <c r="AL22" s="4">
        <f>AJ22+AK22</f>
        <v>0</v>
      </c>
      <c r="AM22" s="4">
        <f>AI22*(1+Rates!D$13)</f>
        <v>0</v>
      </c>
      <c r="AN22" s="4">
        <f>AD22*AM22</f>
        <v>0</v>
      </c>
      <c r="AO22" s="18"/>
      <c r="AP22" s="12">
        <f>'Monthly Budget'!AA24</f>
        <v>0</v>
      </c>
      <c r="AQ22" s="41">
        <f>AP22/12*1950</f>
        <v>0</v>
      </c>
      <c r="AR22" s="81">
        <f>AE22*1.02</f>
        <v>0</v>
      </c>
      <c r="AS22" s="19">
        <f>AR22/3</f>
        <v>0</v>
      </c>
      <c r="AT22" s="97">
        <f>AR22/(1950*0.25)</f>
        <v>0</v>
      </c>
      <c r="AU22" s="97">
        <f>AT22*Rates!E$4</f>
        <v>0</v>
      </c>
      <c r="AV22" s="97">
        <f>AT22+AU22</f>
        <v>0</v>
      </c>
      <c r="AW22" s="4">
        <f>ROUND(AS22*AP22, 0)</f>
        <v>0</v>
      </c>
      <c r="AX22" s="4">
        <f>ROUND(AQ22*AU22, 0)</f>
        <v>0</v>
      </c>
      <c r="AY22" s="4">
        <f>AW22+AX22</f>
        <v>0</v>
      </c>
      <c r="AZ22" s="4">
        <f>AV22*(1+Rates!E$13)</f>
        <v>0</v>
      </c>
      <c r="BA22" s="4">
        <f>AQ22*AZ22</f>
        <v>0</v>
      </c>
      <c r="BB22" s="18"/>
      <c r="BC22" s="12">
        <f>'Monthly Budget'!AI24</f>
        <v>0</v>
      </c>
      <c r="BD22" s="41">
        <f>BC22/12*1950</f>
        <v>0</v>
      </c>
      <c r="BE22" s="81">
        <f>AR22*1.02</f>
        <v>0</v>
      </c>
      <c r="BF22" s="19">
        <f>BE22/3</f>
        <v>0</v>
      </c>
      <c r="BG22" s="97">
        <f>BE22/(1950*0.25)</f>
        <v>0</v>
      </c>
      <c r="BH22" s="97">
        <f>BG22*Rates!F$4</f>
        <v>0</v>
      </c>
      <c r="BI22" s="97">
        <f>BG22+BH22</f>
        <v>0</v>
      </c>
      <c r="BJ22" s="4">
        <f>ROUND(BF22*BC22, 0)</f>
        <v>0</v>
      </c>
      <c r="BK22" s="4">
        <f>ROUND(BD22*BH22, 0)</f>
        <v>0</v>
      </c>
      <c r="BL22" s="4">
        <f>BJ22+BK22</f>
        <v>0</v>
      </c>
      <c r="BM22" s="4">
        <f>BI22*(1+Rates!F$13)</f>
        <v>0</v>
      </c>
      <c r="BN22" s="4">
        <f>BD22*BM22</f>
        <v>0</v>
      </c>
      <c r="BO22" s="18"/>
      <c r="BP22" s="42">
        <f t="shared" si="35"/>
        <v>0</v>
      </c>
      <c r="BQ22" s="4"/>
      <c r="BR22" s="4"/>
    </row>
    <row r="23" spans="1:71" s="6" customFormat="1" ht="15" customHeight="1" x14ac:dyDescent="0.6">
      <c r="A23" s="216" t="str">
        <f>'Monthly Budget'!A25</f>
        <v>Name</v>
      </c>
      <c r="B23" s="217"/>
      <c r="C23" s="12">
        <f>'Monthly Budget'!C25</f>
        <v>0</v>
      </c>
      <c r="D23" s="41">
        <f>C23/12*1950</f>
        <v>0</v>
      </c>
      <c r="E23" s="81">
        <f>'Monthly Budget'!E25</f>
        <v>0</v>
      </c>
      <c r="F23" s="19">
        <f>E23/3</f>
        <v>0</v>
      </c>
      <c r="G23" s="97">
        <f>E23/(1950*0.25)</f>
        <v>0</v>
      </c>
      <c r="H23" s="97">
        <f>G23*Rates!B$4</f>
        <v>0</v>
      </c>
      <c r="I23" s="97">
        <f>G23+H23</f>
        <v>0</v>
      </c>
      <c r="J23" s="4">
        <f>ROUND(D23*G23, 0)</f>
        <v>0</v>
      </c>
      <c r="K23" s="4">
        <f>D23*H23</f>
        <v>0</v>
      </c>
      <c r="L23" s="4">
        <f>J23+K23</f>
        <v>0</v>
      </c>
      <c r="M23" s="4">
        <f>I23*(1+Rates!B$13)</f>
        <v>0</v>
      </c>
      <c r="N23" s="4">
        <f>D23*M23</f>
        <v>0</v>
      </c>
      <c r="O23" s="18"/>
      <c r="P23" s="12">
        <f>'Monthly Budget'!K25</f>
        <v>0</v>
      </c>
      <c r="Q23" s="41">
        <f>P23/12*1950</f>
        <v>0</v>
      </c>
      <c r="R23" s="81">
        <f>E23*1.02</f>
        <v>0</v>
      </c>
      <c r="S23" s="19">
        <f>R23/3</f>
        <v>0</v>
      </c>
      <c r="T23" s="97">
        <f>R23/(1950*0.25)</f>
        <v>0</v>
      </c>
      <c r="U23" s="97">
        <f>T23*Rates!C$4</f>
        <v>0</v>
      </c>
      <c r="V23" s="97">
        <f>T23+U23</f>
        <v>0</v>
      </c>
      <c r="W23" s="4">
        <f>ROUND(S23*P23, 0)</f>
        <v>0</v>
      </c>
      <c r="X23" s="4">
        <f>ROUND(Q23*U23, 0)</f>
        <v>0</v>
      </c>
      <c r="Y23" s="4">
        <f>W23+X23</f>
        <v>0</v>
      </c>
      <c r="Z23" s="4">
        <f>V23*(1+Rates!C$13)</f>
        <v>0</v>
      </c>
      <c r="AA23" s="4">
        <f>Q23*Z23</f>
        <v>0</v>
      </c>
      <c r="AB23" s="18"/>
      <c r="AC23" s="12">
        <f>'Monthly Budget'!S25</f>
        <v>0</v>
      </c>
      <c r="AD23" s="41">
        <f>AC23/12*1950</f>
        <v>0</v>
      </c>
      <c r="AE23" s="81">
        <f>R23*1.02</f>
        <v>0</v>
      </c>
      <c r="AF23" s="19">
        <f>AE23/3</f>
        <v>0</v>
      </c>
      <c r="AG23" s="97">
        <f>AE23/(1950*0.25)</f>
        <v>0</v>
      </c>
      <c r="AH23" s="97">
        <f>AG23*Rates!D$4</f>
        <v>0</v>
      </c>
      <c r="AI23" s="97">
        <f>AG23+AH23</f>
        <v>0</v>
      </c>
      <c r="AJ23" s="4">
        <f>ROUND(AF23*AC23, 0)</f>
        <v>0</v>
      </c>
      <c r="AK23" s="4">
        <f>ROUND(AD23*AH23, 0)</f>
        <v>0</v>
      </c>
      <c r="AL23" s="4">
        <f>AJ23+AK23</f>
        <v>0</v>
      </c>
      <c r="AM23" s="4">
        <f>AI23*(1+Rates!D$13)</f>
        <v>0</v>
      </c>
      <c r="AN23" s="4">
        <f>AD23*AM23</f>
        <v>0</v>
      </c>
      <c r="AO23" s="18"/>
      <c r="AP23" s="12">
        <f>'Monthly Budget'!AA25</f>
        <v>0</v>
      </c>
      <c r="AQ23" s="41">
        <f>AP23/12*1950</f>
        <v>0</v>
      </c>
      <c r="AR23" s="81">
        <f>AE23*1.02</f>
        <v>0</v>
      </c>
      <c r="AS23" s="19">
        <f>AR23/3</f>
        <v>0</v>
      </c>
      <c r="AT23" s="97">
        <f>AR23/(1950*0.25)</f>
        <v>0</v>
      </c>
      <c r="AU23" s="97">
        <f>AT23*Rates!E$4</f>
        <v>0</v>
      </c>
      <c r="AV23" s="97">
        <f>AT23+AU23</f>
        <v>0</v>
      </c>
      <c r="AW23" s="4">
        <f>ROUND(AS23*AP23, 0)</f>
        <v>0</v>
      </c>
      <c r="AX23" s="4">
        <f>ROUND(AQ23*AU23, 0)</f>
        <v>0</v>
      </c>
      <c r="AY23" s="4">
        <f>AW23+AX23</f>
        <v>0</v>
      </c>
      <c r="AZ23" s="4">
        <f>AV23*(1+Rates!E$13)</f>
        <v>0</v>
      </c>
      <c r="BA23" s="4">
        <f>AQ23*AZ23</f>
        <v>0</v>
      </c>
      <c r="BB23" s="18"/>
      <c r="BC23" s="12">
        <f>'Monthly Budget'!AI25</f>
        <v>0</v>
      </c>
      <c r="BD23" s="41">
        <f>BC23/12*1950</f>
        <v>0</v>
      </c>
      <c r="BE23" s="81">
        <f>AR23*1.02</f>
        <v>0</v>
      </c>
      <c r="BF23" s="19">
        <f>BE23/3</f>
        <v>0</v>
      </c>
      <c r="BG23" s="97">
        <f>BE23/(1950*0.25)</f>
        <v>0</v>
      </c>
      <c r="BH23" s="97">
        <f>BG23*Rates!F$4</f>
        <v>0</v>
      </c>
      <c r="BI23" s="97">
        <f>BG23+BH23</f>
        <v>0</v>
      </c>
      <c r="BJ23" s="4">
        <f>ROUND(BF23*BC23, 0)</f>
        <v>0</v>
      </c>
      <c r="BK23" s="4">
        <f>ROUND(BD23*BH23, 0)</f>
        <v>0</v>
      </c>
      <c r="BL23" s="4">
        <f>BJ23+BK23</f>
        <v>0</v>
      </c>
      <c r="BM23" s="4">
        <f>BI23*(1+Rates!F$13)</f>
        <v>0</v>
      </c>
      <c r="BN23" s="4">
        <f>BD23*BM23</f>
        <v>0</v>
      </c>
      <c r="BO23" s="18"/>
      <c r="BP23" s="42">
        <f t="shared" si="35"/>
        <v>0</v>
      </c>
      <c r="BQ23" s="4"/>
      <c r="BR23" s="4"/>
    </row>
    <row r="24" spans="1:71" s="6" customFormat="1" ht="15" customHeight="1" x14ac:dyDescent="0.6">
      <c r="A24" s="216" t="str">
        <f>'Monthly Budget'!A26</f>
        <v>Name</v>
      </c>
      <c r="B24" s="217"/>
      <c r="C24" s="12">
        <f>'Monthly Budget'!C26</f>
        <v>0</v>
      </c>
      <c r="D24" s="41">
        <f>C24/12*1950</f>
        <v>0</v>
      </c>
      <c r="E24" s="81">
        <f>'Monthly Budget'!E26</f>
        <v>0</v>
      </c>
      <c r="F24" s="19">
        <f>E24/3</f>
        <v>0</v>
      </c>
      <c r="G24" s="97">
        <f>E24/(1950*0.25)</f>
        <v>0</v>
      </c>
      <c r="H24" s="97">
        <f>G24*Rates!B$4</f>
        <v>0</v>
      </c>
      <c r="I24" s="97">
        <f>G24+H24</f>
        <v>0</v>
      </c>
      <c r="J24" s="4">
        <f>ROUND(D24*G24, 0)</f>
        <v>0</v>
      </c>
      <c r="K24" s="4">
        <f>D24*H24</f>
        <v>0</v>
      </c>
      <c r="L24" s="4">
        <f>J24+K24</f>
        <v>0</v>
      </c>
      <c r="M24" s="4">
        <f>I24*(1+Rates!B$13)</f>
        <v>0</v>
      </c>
      <c r="N24" s="4">
        <f>D24*M24</f>
        <v>0</v>
      </c>
      <c r="O24" s="18"/>
      <c r="P24" s="12">
        <f>'Monthly Budget'!K26</f>
        <v>0</v>
      </c>
      <c r="Q24" s="41">
        <f>P24/12*1950</f>
        <v>0</v>
      </c>
      <c r="R24" s="81">
        <f>E24*1.02</f>
        <v>0</v>
      </c>
      <c r="S24" s="19">
        <f>R24/3</f>
        <v>0</v>
      </c>
      <c r="T24" s="97">
        <f>R24/(1950*0.25)</f>
        <v>0</v>
      </c>
      <c r="U24" s="97">
        <f>T24*Rates!C$4</f>
        <v>0</v>
      </c>
      <c r="V24" s="97">
        <f>T24+U24</f>
        <v>0</v>
      </c>
      <c r="W24" s="4">
        <f>ROUND(S24*P24, 0)</f>
        <v>0</v>
      </c>
      <c r="X24" s="4">
        <f>ROUND(Q24*U24, 0)</f>
        <v>0</v>
      </c>
      <c r="Y24" s="4">
        <f>W24+X24</f>
        <v>0</v>
      </c>
      <c r="Z24" s="4">
        <f>V24*(1+Rates!C$13)</f>
        <v>0</v>
      </c>
      <c r="AA24" s="4">
        <f>Q24*Z24</f>
        <v>0</v>
      </c>
      <c r="AB24" s="18"/>
      <c r="AC24" s="12">
        <f>'Monthly Budget'!S26</f>
        <v>0</v>
      </c>
      <c r="AD24" s="41">
        <f>AC24/12*1950</f>
        <v>0</v>
      </c>
      <c r="AE24" s="81">
        <f>R24*1.02</f>
        <v>0</v>
      </c>
      <c r="AF24" s="19">
        <f>AE24/3</f>
        <v>0</v>
      </c>
      <c r="AG24" s="97">
        <f>AE24/(1950*0.25)</f>
        <v>0</v>
      </c>
      <c r="AH24" s="97">
        <f>AG24*Rates!D$4</f>
        <v>0</v>
      </c>
      <c r="AI24" s="97">
        <f>AG24+AH24</f>
        <v>0</v>
      </c>
      <c r="AJ24" s="4">
        <f>ROUND(AF24*AC24, 0)</f>
        <v>0</v>
      </c>
      <c r="AK24" s="4">
        <f>ROUND(AD24*AH24, 0)</f>
        <v>0</v>
      </c>
      <c r="AL24" s="4">
        <f>AJ24+AK24</f>
        <v>0</v>
      </c>
      <c r="AM24" s="4">
        <f>AI24*(1+Rates!D$13)</f>
        <v>0</v>
      </c>
      <c r="AN24" s="4">
        <f>AD24*AM24</f>
        <v>0</v>
      </c>
      <c r="AO24" s="18"/>
      <c r="AP24" s="12">
        <f>'Monthly Budget'!AA26</f>
        <v>0</v>
      </c>
      <c r="AQ24" s="41">
        <f>AP24/12*1950</f>
        <v>0</v>
      </c>
      <c r="AR24" s="81">
        <f>AE24*1.02</f>
        <v>0</v>
      </c>
      <c r="AS24" s="19">
        <f>AR24/3</f>
        <v>0</v>
      </c>
      <c r="AT24" s="97">
        <f>AR24/(1950*0.25)</f>
        <v>0</v>
      </c>
      <c r="AU24" s="97">
        <f>AT24*Rates!E$4</f>
        <v>0</v>
      </c>
      <c r="AV24" s="97">
        <f>AT24+AU24</f>
        <v>0</v>
      </c>
      <c r="AW24" s="4">
        <f>ROUND(AS24*AP24, 0)</f>
        <v>0</v>
      </c>
      <c r="AX24" s="4">
        <f>ROUND(AQ24*AU24, 0)</f>
        <v>0</v>
      </c>
      <c r="AY24" s="4">
        <f>AW24+AX24</f>
        <v>0</v>
      </c>
      <c r="AZ24" s="4">
        <f>AV24*(1+Rates!E$13)</f>
        <v>0</v>
      </c>
      <c r="BA24" s="4">
        <f>AQ24*AZ24</f>
        <v>0</v>
      </c>
      <c r="BB24" s="18"/>
      <c r="BC24" s="12">
        <f>'Monthly Budget'!AI26</f>
        <v>0</v>
      </c>
      <c r="BD24" s="41">
        <f>BC24/12*1950</f>
        <v>0</v>
      </c>
      <c r="BE24" s="81">
        <f>AR24*1.02</f>
        <v>0</v>
      </c>
      <c r="BF24" s="19">
        <f>BE24/3</f>
        <v>0</v>
      </c>
      <c r="BG24" s="97">
        <f>BE24/(1950*0.25)</f>
        <v>0</v>
      </c>
      <c r="BH24" s="97">
        <f>BG24*Rates!F$4</f>
        <v>0</v>
      </c>
      <c r="BI24" s="97">
        <f>BG24+BH24</f>
        <v>0</v>
      </c>
      <c r="BJ24" s="4">
        <f>ROUND(BF24*BC24, 0)</f>
        <v>0</v>
      </c>
      <c r="BK24" s="4">
        <f>ROUND(BD24*BH24, 0)</f>
        <v>0</v>
      </c>
      <c r="BL24" s="4">
        <f>BJ24+BK24</f>
        <v>0</v>
      </c>
      <c r="BM24" s="4">
        <f>BI24*(1+Rates!F$13)</f>
        <v>0</v>
      </c>
      <c r="BN24" s="4">
        <f>BD24*BM24</f>
        <v>0</v>
      </c>
      <c r="BO24" s="18"/>
      <c r="BP24" s="42">
        <f t="shared" si="35"/>
        <v>0</v>
      </c>
      <c r="BQ24" s="4"/>
      <c r="BR24" s="4"/>
    </row>
    <row r="25" spans="1:71" s="6" customFormat="1" ht="15" customHeight="1" thickBot="1" x14ac:dyDescent="0.75">
      <c r="A25" s="232" t="str">
        <f>'Monthly Budget'!A27</f>
        <v>Name</v>
      </c>
      <c r="B25" s="233"/>
      <c r="C25" s="12">
        <f>'Monthly Budget'!C27</f>
        <v>0</v>
      </c>
      <c r="D25" s="41">
        <f>C25/12*1950</f>
        <v>0</v>
      </c>
      <c r="E25" s="81">
        <f>'Monthly Budget'!E27</f>
        <v>0</v>
      </c>
      <c r="F25" s="19">
        <f>E25/3</f>
        <v>0</v>
      </c>
      <c r="G25" s="97">
        <f>E25/(1950*0.25)</f>
        <v>0</v>
      </c>
      <c r="H25" s="97">
        <f>G25*Rates!B$4</f>
        <v>0</v>
      </c>
      <c r="I25" s="97">
        <f>G25+H25</f>
        <v>0</v>
      </c>
      <c r="J25" s="4">
        <f>ROUND(D25*G25, 0)</f>
        <v>0</v>
      </c>
      <c r="K25" s="4">
        <f>D25*H25</f>
        <v>0</v>
      </c>
      <c r="L25" s="4">
        <f>J25+K25</f>
        <v>0</v>
      </c>
      <c r="M25" s="4">
        <f>I25*(1+Rates!B$13)</f>
        <v>0</v>
      </c>
      <c r="N25" s="4">
        <f>D25*M25</f>
        <v>0</v>
      </c>
      <c r="O25" s="18"/>
      <c r="P25" s="12">
        <f>'Monthly Budget'!K27</f>
        <v>0</v>
      </c>
      <c r="Q25" s="41">
        <f>P25/12*1950</f>
        <v>0</v>
      </c>
      <c r="R25" s="81">
        <f>E25*1.02</f>
        <v>0</v>
      </c>
      <c r="S25" s="19">
        <f>R25/3</f>
        <v>0</v>
      </c>
      <c r="T25" s="97">
        <f>R25/(1950*0.25)</f>
        <v>0</v>
      </c>
      <c r="U25" s="97">
        <f>T25*Rates!C$4</f>
        <v>0</v>
      </c>
      <c r="V25" s="97">
        <f>T25+U25</f>
        <v>0</v>
      </c>
      <c r="W25" s="4">
        <f>ROUND(S25*P25, 0)</f>
        <v>0</v>
      </c>
      <c r="X25" s="4">
        <f>ROUND(Q25*U25, 0)</f>
        <v>0</v>
      </c>
      <c r="Y25" s="4">
        <f>W25+X25</f>
        <v>0</v>
      </c>
      <c r="Z25" s="4">
        <f>V25*(1+Rates!C$13)</f>
        <v>0</v>
      </c>
      <c r="AA25" s="4">
        <f>Q25*Z25</f>
        <v>0</v>
      </c>
      <c r="AB25" s="18"/>
      <c r="AC25" s="12">
        <f>'Monthly Budget'!S27</f>
        <v>0</v>
      </c>
      <c r="AD25" s="41">
        <f>AC25/12*1950</f>
        <v>0</v>
      </c>
      <c r="AE25" s="81">
        <f>R25*1.02</f>
        <v>0</v>
      </c>
      <c r="AF25" s="19">
        <f>AE25/3</f>
        <v>0</v>
      </c>
      <c r="AG25" s="97">
        <f>AE25/(1950*0.25)</f>
        <v>0</v>
      </c>
      <c r="AH25" s="97">
        <f>AG25*Rates!D$4</f>
        <v>0</v>
      </c>
      <c r="AI25" s="97">
        <f>AG25+AH25</f>
        <v>0</v>
      </c>
      <c r="AJ25" s="4">
        <f>ROUND(AF25*AC25, 0)</f>
        <v>0</v>
      </c>
      <c r="AK25" s="4">
        <f>ROUND(AD25*AH25, 0)</f>
        <v>0</v>
      </c>
      <c r="AL25" s="4">
        <f>AJ25+AK25</f>
        <v>0</v>
      </c>
      <c r="AM25" s="4">
        <f>AI25*(1+Rates!D$13)</f>
        <v>0</v>
      </c>
      <c r="AN25" s="4">
        <f>AD25*AM25</f>
        <v>0</v>
      </c>
      <c r="AO25" s="18"/>
      <c r="AP25" s="12">
        <f>'Monthly Budget'!AA27</f>
        <v>0</v>
      </c>
      <c r="AQ25" s="41">
        <f>AP25/12*1950</f>
        <v>0</v>
      </c>
      <c r="AR25" s="81">
        <f>AE25*1.02</f>
        <v>0</v>
      </c>
      <c r="AS25" s="19">
        <f>AR25/3</f>
        <v>0</v>
      </c>
      <c r="AT25" s="97">
        <f>AR25/(1950*0.25)</f>
        <v>0</v>
      </c>
      <c r="AU25" s="97">
        <f>AT25*Rates!E$4</f>
        <v>0</v>
      </c>
      <c r="AV25" s="97">
        <f>AT25+AU25</f>
        <v>0</v>
      </c>
      <c r="AW25" s="4">
        <f>ROUND(AS25*AP25, 0)</f>
        <v>0</v>
      </c>
      <c r="AX25" s="4">
        <f>ROUND(AQ25*AU25, 0)</f>
        <v>0</v>
      </c>
      <c r="AY25" s="4">
        <f>AW25+AX25</f>
        <v>0</v>
      </c>
      <c r="AZ25" s="4">
        <f>AV25*(1+Rates!E$13)</f>
        <v>0</v>
      </c>
      <c r="BA25" s="4">
        <f>AQ25*AZ25</f>
        <v>0</v>
      </c>
      <c r="BB25" s="18"/>
      <c r="BC25" s="12">
        <f>'Monthly Budget'!AI27</f>
        <v>0</v>
      </c>
      <c r="BD25" s="41">
        <f>BC25/12*1950</f>
        <v>0</v>
      </c>
      <c r="BE25" s="81">
        <f>AR25*1.02</f>
        <v>0</v>
      </c>
      <c r="BF25" s="19">
        <f>BE25/3</f>
        <v>0</v>
      </c>
      <c r="BG25" s="97">
        <f>BE25/(1950*0.25)</f>
        <v>0</v>
      </c>
      <c r="BH25" s="97">
        <f>BG25*Rates!F$4</f>
        <v>0</v>
      </c>
      <c r="BI25" s="97">
        <f>BG25+BH25</f>
        <v>0</v>
      </c>
      <c r="BJ25" s="4">
        <f>ROUND(BF25*BC25, 0)</f>
        <v>0</v>
      </c>
      <c r="BK25" s="4">
        <f>ROUND(BD25*BH25, 0)</f>
        <v>0</v>
      </c>
      <c r="BL25" s="4">
        <f>BJ25+BK25</f>
        <v>0</v>
      </c>
      <c r="BM25" s="4">
        <f>BI25*(1+Rates!F$13)</f>
        <v>0</v>
      </c>
      <c r="BN25" s="4">
        <f>BD25*BM25</f>
        <v>0</v>
      </c>
      <c r="BO25" s="18"/>
      <c r="BP25" s="42">
        <f t="shared" si="35"/>
        <v>0</v>
      </c>
      <c r="BQ25" s="4"/>
      <c r="BR25" s="4"/>
    </row>
    <row r="26" spans="1:71" ht="15" customHeight="1" thickTop="1" x14ac:dyDescent="0.6">
      <c r="A26" s="211" t="s">
        <v>2</v>
      </c>
      <c r="B26" s="212"/>
      <c r="C26" s="62"/>
      <c r="D26" s="62"/>
      <c r="E26" s="82"/>
      <c r="F26" s="63"/>
      <c r="G26" s="98"/>
      <c r="H26" s="98"/>
      <c r="I26" s="98"/>
      <c r="J26" s="63"/>
      <c r="K26" s="63"/>
      <c r="L26" s="63"/>
      <c r="M26" s="63"/>
      <c r="N26" s="63">
        <f>SUM(N21:N25)</f>
        <v>60664.72</v>
      </c>
      <c r="O26" s="64"/>
      <c r="P26" s="62"/>
      <c r="Q26" s="62"/>
      <c r="R26" s="82"/>
      <c r="S26" s="63"/>
      <c r="T26" s="98"/>
      <c r="U26" s="98"/>
      <c r="V26" s="98"/>
      <c r="W26" s="63"/>
      <c r="X26" s="63"/>
      <c r="Y26" s="63"/>
      <c r="Z26" s="63"/>
      <c r="AA26" s="63">
        <f>SUM(AA21:AA25)</f>
        <v>0</v>
      </c>
      <c r="AB26" s="64"/>
      <c r="AC26" s="62"/>
      <c r="AD26" s="62"/>
      <c r="AE26" s="82"/>
      <c r="AF26" s="63"/>
      <c r="AG26" s="98"/>
      <c r="AH26" s="98"/>
      <c r="AI26" s="98"/>
      <c r="AJ26" s="63"/>
      <c r="AK26" s="63"/>
      <c r="AL26" s="63"/>
      <c r="AM26" s="63"/>
      <c r="AN26" s="63">
        <f>SUM(AN21:AN25)</f>
        <v>0</v>
      </c>
      <c r="AO26" s="64"/>
      <c r="AP26" s="62"/>
      <c r="AQ26" s="62"/>
      <c r="AR26" s="82"/>
      <c r="AS26" s="63"/>
      <c r="AT26" s="98"/>
      <c r="AU26" s="98"/>
      <c r="AV26" s="98"/>
      <c r="AW26" s="63"/>
      <c r="AX26" s="63"/>
      <c r="AY26" s="63"/>
      <c r="AZ26" s="63"/>
      <c r="BA26" s="63">
        <f>SUM(BA21:BA25)</f>
        <v>0</v>
      </c>
      <c r="BB26" s="64"/>
      <c r="BC26" s="62"/>
      <c r="BD26" s="62"/>
      <c r="BE26" s="82"/>
      <c r="BF26" s="63"/>
      <c r="BG26" s="98"/>
      <c r="BH26" s="98"/>
      <c r="BI26" s="98"/>
      <c r="BJ26" s="63"/>
      <c r="BK26" s="63"/>
      <c r="BL26" s="63"/>
      <c r="BM26" s="63"/>
      <c r="BN26" s="63">
        <f>SUM(BN21:BN25)</f>
        <v>0</v>
      </c>
      <c r="BO26" s="64"/>
      <c r="BP26" s="66">
        <f t="shared" si="35"/>
        <v>60664.72</v>
      </c>
      <c r="BR26" s="4"/>
    </row>
    <row r="27" spans="1:71" ht="15" customHeight="1" x14ac:dyDescent="0.6">
      <c r="A27" s="216"/>
      <c r="B27" s="210"/>
      <c r="C27" s="43"/>
      <c r="D27" s="43"/>
      <c r="E27" s="58"/>
      <c r="O27" s="18"/>
      <c r="P27" s="43"/>
      <c r="Q27" s="43"/>
      <c r="AB27" s="18"/>
      <c r="AC27" s="43"/>
      <c r="AD27" s="43"/>
      <c r="AO27" s="18"/>
      <c r="AP27" s="43"/>
      <c r="AQ27" s="43"/>
      <c r="BB27" s="18"/>
      <c r="BC27" s="43"/>
      <c r="BD27" s="43"/>
      <c r="BO27" s="18"/>
      <c r="BP27" s="42"/>
      <c r="BR27" s="4"/>
      <c r="BS27" s="7"/>
    </row>
    <row r="28" spans="1:71" ht="15" customHeight="1" x14ac:dyDescent="0.7">
      <c r="A28" s="222" t="s">
        <v>3</v>
      </c>
      <c r="B28" s="223"/>
      <c r="C28" s="43"/>
      <c r="D28" s="43"/>
      <c r="E28" s="58"/>
      <c r="O28" s="18"/>
      <c r="P28" s="43"/>
      <c r="Q28" s="43"/>
      <c r="AB28" s="18"/>
      <c r="AC28" s="43"/>
      <c r="AD28" s="43"/>
      <c r="AO28" s="18"/>
      <c r="AP28" s="43"/>
      <c r="AQ28" s="43"/>
      <c r="BB28" s="18"/>
      <c r="BC28" s="43"/>
      <c r="BD28" s="43"/>
      <c r="BO28" s="18"/>
      <c r="BP28" s="42"/>
      <c r="BR28" s="4"/>
    </row>
    <row r="29" spans="1:71" ht="15" customHeight="1" x14ac:dyDescent="0.6">
      <c r="A29" s="209" t="str">
        <f>'Monthly Budget'!A33:B33</f>
        <v>Name</v>
      </c>
      <c r="B29" s="210"/>
      <c r="C29" s="12">
        <f>'Monthly Budget'!C33</f>
        <v>0</v>
      </c>
      <c r="D29" s="41">
        <f>C29/12*1950</f>
        <v>0</v>
      </c>
      <c r="E29" s="81">
        <f>'Monthly Budget'!E33</f>
        <v>0</v>
      </c>
      <c r="F29" s="4">
        <f>E29/12</f>
        <v>0</v>
      </c>
      <c r="G29" s="97">
        <f>E29/(1950)</f>
        <v>0</v>
      </c>
      <c r="H29" s="97">
        <f>G29*Rates!B$5</f>
        <v>0</v>
      </c>
      <c r="I29" s="97">
        <f>G29+H29</f>
        <v>0</v>
      </c>
      <c r="J29" s="4">
        <f>ROUND(D29*G29, 0)</f>
        <v>0</v>
      </c>
      <c r="K29" s="4">
        <f>D29*H29</f>
        <v>0</v>
      </c>
      <c r="L29" s="4">
        <f>J29+K29</f>
        <v>0</v>
      </c>
      <c r="M29" s="4">
        <f>I29*(1+Rates!B$13)</f>
        <v>0</v>
      </c>
      <c r="N29" s="4">
        <f>D29*M29</f>
        <v>0</v>
      </c>
      <c r="O29" s="18"/>
      <c r="P29" s="12">
        <f>'Monthly Budget'!K33</f>
        <v>0</v>
      </c>
      <c r="Q29" s="41">
        <f>P29/12*1950</f>
        <v>0</v>
      </c>
      <c r="R29" s="58">
        <f>E29*1.02</f>
        <v>0</v>
      </c>
      <c r="S29" s="4">
        <f>R29/12</f>
        <v>0</v>
      </c>
      <c r="T29" s="97">
        <f>R29/(1950)</f>
        <v>0</v>
      </c>
      <c r="U29" s="97">
        <f>T29*Rates!C$5</f>
        <v>0</v>
      </c>
      <c r="V29" s="97">
        <f>T29+U29</f>
        <v>0</v>
      </c>
      <c r="W29" s="4">
        <f>ROUND(Q29*T29, 0)</f>
        <v>0</v>
      </c>
      <c r="X29" s="4">
        <f>ROUND(Q29*U29, 0)</f>
        <v>0</v>
      </c>
      <c r="Y29" s="4">
        <f>W29+X29</f>
        <v>0</v>
      </c>
      <c r="Z29" s="4">
        <f>V29*(1+Rates!C$13)</f>
        <v>0</v>
      </c>
      <c r="AA29" s="4">
        <f>Q29*Z29</f>
        <v>0</v>
      </c>
      <c r="AB29" s="18"/>
      <c r="AC29" s="12">
        <f>'Monthly Budget'!S33</f>
        <v>0</v>
      </c>
      <c r="AD29" s="41">
        <f>AC29/12*1950</f>
        <v>0</v>
      </c>
      <c r="AE29" s="58">
        <f>R29*1.02</f>
        <v>0</v>
      </c>
      <c r="AF29" s="4">
        <f>AE29/12</f>
        <v>0</v>
      </c>
      <c r="AG29" s="97">
        <f>AE29/(1950)</f>
        <v>0</v>
      </c>
      <c r="AH29" s="97">
        <f>AG29*Rates!D$5</f>
        <v>0</v>
      </c>
      <c r="AI29" s="97">
        <f>AG29+AH29</f>
        <v>0</v>
      </c>
      <c r="AJ29" s="4">
        <f>ROUND(AD29*AG29, 0)</f>
        <v>0</v>
      </c>
      <c r="AK29" s="4">
        <f>ROUND(AD29*AH29, 0)</f>
        <v>0</v>
      </c>
      <c r="AL29" s="4">
        <f>AJ29+AK29</f>
        <v>0</v>
      </c>
      <c r="AM29" s="4">
        <f>AI29*(1+Rates!D13)</f>
        <v>0</v>
      </c>
      <c r="AN29" s="4">
        <f>AD29*AM29</f>
        <v>0</v>
      </c>
      <c r="AO29" s="18"/>
      <c r="AP29" s="12">
        <f>'Monthly Budget'!AA33</f>
        <v>0</v>
      </c>
      <c r="AQ29" s="41">
        <f>AP29/12*1950</f>
        <v>0</v>
      </c>
      <c r="AR29" s="58">
        <f>AE29*1.02</f>
        <v>0</v>
      </c>
      <c r="AS29" s="4">
        <f>AR29/12</f>
        <v>0</v>
      </c>
      <c r="AT29" s="97">
        <f>AR29/(1950)</f>
        <v>0</v>
      </c>
      <c r="AU29" s="97">
        <f>AT29*Rates!E$5</f>
        <v>0</v>
      </c>
      <c r="AV29" s="97">
        <f>AT29+AU29</f>
        <v>0</v>
      </c>
      <c r="AW29" s="4">
        <f>ROUND(AQ29*AT29, 0)</f>
        <v>0</v>
      </c>
      <c r="AX29" s="4">
        <f>ROUND(AQ29*AU29, 0)</f>
        <v>0</v>
      </c>
      <c r="AY29" s="4">
        <f>AW29+AX29</f>
        <v>0</v>
      </c>
      <c r="AZ29" s="4">
        <f>AV29*(1+Rates!E$13)</f>
        <v>0</v>
      </c>
      <c r="BA29" s="4">
        <f>AQ29*AZ29</f>
        <v>0</v>
      </c>
      <c r="BB29" s="18"/>
      <c r="BC29" s="12">
        <f>'Monthly Budget'!AI33</f>
        <v>0</v>
      </c>
      <c r="BD29" s="41">
        <f>BC29/12*1950</f>
        <v>0</v>
      </c>
      <c r="BE29" s="58">
        <f>AR29*1.02</f>
        <v>0</v>
      </c>
      <c r="BF29" s="4">
        <f>BE29/12</f>
        <v>0</v>
      </c>
      <c r="BG29" s="97">
        <f>BE29/(1950)</f>
        <v>0</v>
      </c>
      <c r="BH29" s="97">
        <f>BG29*Rates!F$5</f>
        <v>0</v>
      </c>
      <c r="BI29" s="97">
        <f>BG29+BH29</f>
        <v>0</v>
      </c>
      <c r="BJ29" s="4">
        <f>ROUND(BD29*BG29, 0)</f>
        <v>0</v>
      </c>
      <c r="BK29" s="4">
        <f>ROUND(BD29*BH29, 0)</f>
        <v>0</v>
      </c>
      <c r="BL29" s="4">
        <f>BJ29+BK29</f>
        <v>0</v>
      </c>
      <c r="BM29" s="4">
        <f>BI29*(1+Rates!F$13)</f>
        <v>0</v>
      </c>
      <c r="BN29" s="4">
        <f>BD29*BM29</f>
        <v>0</v>
      </c>
      <c r="BO29" s="18"/>
      <c r="BP29" s="42">
        <f>N29+AA29+AN29+BA29+BN29</f>
        <v>0</v>
      </c>
      <c r="BR29" s="4"/>
      <c r="BS29" s="7"/>
    </row>
    <row r="30" spans="1:71" ht="15" customHeight="1" x14ac:dyDescent="0.6">
      <c r="A30" s="209" t="str">
        <f>'Monthly Budget'!A34:B34</f>
        <v>Name</v>
      </c>
      <c r="B30" s="210"/>
      <c r="C30" s="12">
        <f>'Monthly Budget'!C34</f>
        <v>0</v>
      </c>
      <c r="D30" s="41">
        <f>C30/12*1950</f>
        <v>0</v>
      </c>
      <c r="E30" s="81">
        <f>'Monthly Budget'!E34</f>
        <v>0</v>
      </c>
      <c r="F30" s="4">
        <f>E30/12</f>
        <v>0</v>
      </c>
      <c r="G30" s="97">
        <f>E30/(1950)</f>
        <v>0</v>
      </c>
      <c r="H30" s="97">
        <f>G30*Rates!B$5</f>
        <v>0</v>
      </c>
      <c r="I30" s="97">
        <f>G30+H30</f>
        <v>0</v>
      </c>
      <c r="J30" s="4">
        <f>ROUND(D30*G30, 0)</f>
        <v>0</v>
      </c>
      <c r="K30" s="4">
        <f>D30*H30</f>
        <v>0</v>
      </c>
      <c r="L30" s="4">
        <f>J30+K30</f>
        <v>0</v>
      </c>
      <c r="M30" s="4">
        <f>I30*(1+Rates!B$13)</f>
        <v>0</v>
      </c>
      <c r="N30" s="4">
        <f>D30*M30</f>
        <v>0</v>
      </c>
      <c r="O30" s="18"/>
      <c r="P30" s="12">
        <f>'Monthly Budget'!K34</f>
        <v>0</v>
      </c>
      <c r="Q30" s="41">
        <f>P30/12*1950</f>
        <v>0</v>
      </c>
      <c r="R30" s="58">
        <f>E30*1.02</f>
        <v>0</v>
      </c>
      <c r="S30" s="19">
        <f>R30/12</f>
        <v>0</v>
      </c>
      <c r="T30" s="97">
        <f>R30/(1950)</f>
        <v>0</v>
      </c>
      <c r="U30" s="97">
        <f>T30*Rates!C$5</f>
        <v>0</v>
      </c>
      <c r="V30" s="97">
        <f>T30+U30</f>
        <v>0</v>
      </c>
      <c r="W30" s="4">
        <f>ROUND(Q30*T30, 0)</f>
        <v>0</v>
      </c>
      <c r="X30" s="4">
        <f>ROUND(Q30*U30, 0)</f>
        <v>0</v>
      </c>
      <c r="Y30" s="4">
        <f>W30+X30</f>
        <v>0</v>
      </c>
      <c r="Z30" s="4">
        <f>V30*(1+Rates!C$13)</f>
        <v>0</v>
      </c>
      <c r="AA30" s="4">
        <f>Q30*Z30</f>
        <v>0</v>
      </c>
      <c r="AB30" s="18"/>
      <c r="AC30" s="12">
        <f>'Monthly Budget'!S34</f>
        <v>0</v>
      </c>
      <c r="AD30" s="41">
        <f>AC30/12*1950</f>
        <v>0</v>
      </c>
      <c r="AE30" s="58">
        <f>R30*1.02</f>
        <v>0</v>
      </c>
      <c r="AF30" s="19">
        <f>AE30/12</f>
        <v>0</v>
      </c>
      <c r="AG30" s="97">
        <f>AE30/(1950)</f>
        <v>0</v>
      </c>
      <c r="AH30" s="97">
        <f>AG30*Rates!D$5</f>
        <v>0</v>
      </c>
      <c r="AI30" s="97">
        <f>AG30+AH30</f>
        <v>0</v>
      </c>
      <c r="AJ30" s="4">
        <f>ROUND(AD30*AG30, 0)</f>
        <v>0</v>
      </c>
      <c r="AK30" s="4">
        <f>ROUND(AD30*AH30, 0)</f>
        <v>0</v>
      </c>
      <c r="AL30" s="4">
        <f>AJ30+AK30</f>
        <v>0</v>
      </c>
      <c r="AM30" s="4">
        <f>AI30*(1+Rates!D14)</f>
        <v>0</v>
      </c>
      <c r="AN30" s="4">
        <f>AD30*AM30</f>
        <v>0</v>
      </c>
      <c r="AO30" s="18"/>
      <c r="AP30" s="12">
        <f>'Monthly Budget'!AA34</f>
        <v>0</v>
      </c>
      <c r="AQ30" s="41">
        <f>AP30/12*1950</f>
        <v>0</v>
      </c>
      <c r="AR30" s="58">
        <f>AE30*1.02</f>
        <v>0</v>
      </c>
      <c r="AS30" s="19">
        <f>AR30/12</f>
        <v>0</v>
      </c>
      <c r="AT30" s="97">
        <f>AR30/(1950)</f>
        <v>0</v>
      </c>
      <c r="AU30" s="97">
        <f>AT30*Rates!E$5</f>
        <v>0</v>
      </c>
      <c r="AV30" s="97">
        <f>AT30+AU30</f>
        <v>0</v>
      </c>
      <c r="AW30" s="4">
        <f>ROUND(AQ30*AT30, 0)</f>
        <v>0</v>
      </c>
      <c r="AX30" s="4">
        <f>ROUND(AQ30*AU30, 0)</f>
        <v>0</v>
      </c>
      <c r="AY30" s="4">
        <f>AW30+AX30</f>
        <v>0</v>
      </c>
      <c r="AZ30" s="4">
        <f>AV30*(1+Rates!E$13)</f>
        <v>0</v>
      </c>
      <c r="BA30" s="4">
        <f>AQ30*AZ30</f>
        <v>0</v>
      </c>
      <c r="BB30" s="18"/>
      <c r="BC30" s="12">
        <f>'Monthly Budget'!AI34</f>
        <v>0</v>
      </c>
      <c r="BD30" s="41">
        <f>BC30/12*1950</f>
        <v>0</v>
      </c>
      <c r="BE30" s="58">
        <f>AR30*1.02</f>
        <v>0</v>
      </c>
      <c r="BF30" s="19">
        <f>BE30/12</f>
        <v>0</v>
      </c>
      <c r="BG30" s="97">
        <f>BE30/(1950)</f>
        <v>0</v>
      </c>
      <c r="BH30" s="97">
        <f>BG30*Rates!F$5</f>
        <v>0</v>
      </c>
      <c r="BI30" s="97">
        <f>BG30+BH30</f>
        <v>0</v>
      </c>
      <c r="BJ30" s="4">
        <f>ROUND(BD30*BG30, 0)</f>
        <v>0</v>
      </c>
      <c r="BK30" s="4">
        <f>ROUND(BD30*BH30, 0)</f>
        <v>0</v>
      </c>
      <c r="BL30" s="4">
        <f>BJ30+BK30</f>
        <v>0</v>
      </c>
      <c r="BM30" s="4">
        <f>BI30*(1+Rates!F$13)</f>
        <v>0</v>
      </c>
      <c r="BN30" s="4">
        <f>BD30*BM30</f>
        <v>0</v>
      </c>
      <c r="BO30" s="18"/>
      <c r="BP30" s="42">
        <f>N30+AA30+AN30+BA30+BN30</f>
        <v>0</v>
      </c>
      <c r="BR30" s="4"/>
      <c r="BS30" s="7"/>
    </row>
    <row r="31" spans="1:71" ht="15" customHeight="1" thickBot="1" x14ac:dyDescent="0.75">
      <c r="A31" s="245" t="str">
        <f>'Monthly Budget'!A35:B35</f>
        <v>Name</v>
      </c>
      <c r="B31" s="246"/>
      <c r="C31" s="12">
        <f>'Monthly Budget'!C35</f>
        <v>0</v>
      </c>
      <c r="D31" s="41">
        <f>C31/12*1950</f>
        <v>0</v>
      </c>
      <c r="E31" s="81">
        <f>'Monthly Budget'!E35</f>
        <v>0</v>
      </c>
      <c r="F31" s="4">
        <f>E31/12</f>
        <v>0</v>
      </c>
      <c r="G31" s="97">
        <f>E31/(1950)</f>
        <v>0</v>
      </c>
      <c r="H31" s="97">
        <f>G31*Rates!B$5</f>
        <v>0</v>
      </c>
      <c r="I31" s="97">
        <f>G31+H31</f>
        <v>0</v>
      </c>
      <c r="J31" s="4">
        <f>ROUND(D31*G31, 0)</f>
        <v>0</v>
      </c>
      <c r="K31" s="4">
        <f>D31*H31</f>
        <v>0</v>
      </c>
      <c r="L31" s="4">
        <f>J31+K31</f>
        <v>0</v>
      </c>
      <c r="M31" s="4">
        <f>I31*(1+Rates!B$13)</f>
        <v>0</v>
      </c>
      <c r="N31" s="4">
        <f>D31*M31</f>
        <v>0</v>
      </c>
      <c r="O31" s="18"/>
      <c r="P31" s="12">
        <f>'Monthly Budget'!K35</f>
        <v>0</v>
      </c>
      <c r="Q31" s="41">
        <f>P31/12*1950</f>
        <v>0</v>
      </c>
      <c r="R31" s="58">
        <f>E31*1.02</f>
        <v>0</v>
      </c>
      <c r="S31" s="19">
        <f>R31/12</f>
        <v>0</v>
      </c>
      <c r="T31" s="97">
        <f>R31/(1950)</f>
        <v>0</v>
      </c>
      <c r="U31" s="97">
        <f>T31*Rates!C$5</f>
        <v>0</v>
      </c>
      <c r="V31" s="97">
        <f>T31+U31</f>
        <v>0</v>
      </c>
      <c r="W31" s="4">
        <f>ROUND(Q31*T31, 0)</f>
        <v>0</v>
      </c>
      <c r="X31" s="4">
        <f>ROUND(Q31*U31, 0)</f>
        <v>0</v>
      </c>
      <c r="Y31" s="4">
        <f>W31+X31</f>
        <v>0</v>
      </c>
      <c r="Z31" s="4">
        <f>V31*(1+Rates!C$13)</f>
        <v>0</v>
      </c>
      <c r="AA31" s="4">
        <f>Q31*Z31</f>
        <v>0</v>
      </c>
      <c r="AB31" s="18"/>
      <c r="AC31" s="12">
        <f>'Monthly Budget'!S35</f>
        <v>0</v>
      </c>
      <c r="AD31" s="41">
        <f>AC31/12*1950</f>
        <v>0</v>
      </c>
      <c r="AE31" s="58">
        <f>R31*1.02</f>
        <v>0</v>
      </c>
      <c r="AF31" s="19">
        <f>AE31/12</f>
        <v>0</v>
      </c>
      <c r="AG31" s="97">
        <f>AE31/(1950)</f>
        <v>0</v>
      </c>
      <c r="AH31" s="97">
        <f>AG31*Rates!D$5</f>
        <v>0</v>
      </c>
      <c r="AI31" s="97">
        <f>AG31+AH31</f>
        <v>0</v>
      </c>
      <c r="AJ31" s="4">
        <f>ROUND(AD31*AG31, 0)</f>
        <v>0</v>
      </c>
      <c r="AK31" s="4">
        <f>ROUND(AD31*AH31, 0)</f>
        <v>0</v>
      </c>
      <c r="AL31" s="4">
        <f>AJ31+AK31</f>
        <v>0</v>
      </c>
      <c r="AM31" s="4">
        <f>AI31*(1+Rates!D15)</f>
        <v>0</v>
      </c>
      <c r="AN31" s="4">
        <f>AD31*AM31</f>
        <v>0</v>
      </c>
      <c r="AO31" s="18"/>
      <c r="AP31" s="12">
        <f>'Monthly Budget'!AA35</f>
        <v>0</v>
      </c>
      <c r="AQ31" s="41">
        <f>AP31/12*1950</f>
        <v>0</v>
      </c>
      <c r="AR31" s="58">
        <f>AE31*1.02</f>
        <v>0</v>
      </c>
      <c r="AS31" s="19">
        <f>AR31/12</f>
        <v>0</v>
      </c>
      <c r="AT31" s="97">
        <f>AR31/(1950)</f>
        <v>0</v>
      </c>
      <c r="AU31" s="97">
        <f>AT31*Rates!E$5</f>
        <v>0</v>
      </c>
      <c r="AV31" s="97">
        <f>AT31+AU31</f>
        <v>0</v>
      </c>
      <c r="AW31" s="4">
        <f>ROUND(AQ31*AT31, 0)</f>
        <v>0</v>
      </c>
      <c r="AX31" s="4">
        <f>ROUND(AQ31*AU31, 0)</f>
        <v>0</v>
      </c>
      <c r="AY31" s="4">
        <f>AW31+AX31</f>
        <v>0</v>
      </c>
      <c r="AZ31" s="4">
        <f>AV31*(1+Rates!E$13)</f>
        <v>0</v>
      </c>
      <c r="BA31" s="4">
        <f>AQ31*AZ31</f>
        <v>0</v>
      </c>
      <c r="BB31" s="18"/>
      <c r="BC31" s="12">
        <f>'Monthly Budget'!AI35</f>
        <v>0</v>
      </c>
      <c r="BD31" s="41">
        <f>BC31/12*1950</f>
        <v>0</v>
      </c>
      <c r="BE31" s="58">
        <f>AR31*1.02</f>
        <v>0</v>
      </c>
      <c r="BF31" s="19">
        <f>BE31/12</f>
        <v>0</v>
      </c>
      <c r="BG31" s="97">
        <f>BE31/(1950)</f>
        <v>0</v>
      </c>
      <c r="BH31" s="97">
        <f>BG31*Rates!F$5</f>
        <v>0</v>
      </c>
      <c r="BI31" s="97">
        <f>BG31+BH31</f>
        <v>0</v>
      </c>
      <c r="BJ31" s="4">
        <f>ROUND(BD31*BG31, 0)</f>
        <v>0</v>
      </c>
      <c r="BK31" s="4">
        <f>ROUND(BD31*BH31, 0)</f>
        <v>0</v>
      </c>
      <c r="BL31" s="4">
        <f>BJ31+BK31</f>
        <v>0</v>
      </c>
      <c r="BM31" s="4">
        <f>BI31*(1+Rates!F$13)</f>
        <v>0</v>
      </c>
      <c r="BN31" s="4">
        <f>BD31*BM31</f>
        <v>0</v>
      </c>
      <c r="BO31" s="18"/>
      <c r="BP31" s="42">
        <f>N31+AA31+AN31+BA31+BN31</f>
        <v>0</v>
      </c>
      <c r="BR31" s="4"/>
      <c r="BS31" s="7"/>
    </row>
    <row r="32" spans="1:71" ht="15" customHeight="1" thickTop="1" x14ac:dyDescent="0.6">
      <c r="A32" s="211" t="s">
        <v>2</v>
      </c>
      <c r="B32" s="212"/>
      <c r="C32" s="62"/>
      <c r="D32" s="62"/>
      <c r="E32" s="82"/>
      <c r="F32" s="63"/>
      <c r="G32" s="98"/>
      <c r="H32" s="98"/>
      <c r="I32" s="98"/>
      <c r="J32" s="63"/>
      <c r="K32" s="63"/>
      <c r="L32" s="63"/>
      <c r="M32" s="63"/>
      <c r="N32" s="63">
        <f>SUM(N29:N31)</f>
        <v>0</v>
      </c>
      <c r="O32" s="64"/>
      <c r="P32" s="62"/>
      <c r="Q32" s="62"/>
      <c r="R32" s="82"/>
      <c r="S32" s="67"/>
      <c r="T32" s="98"/>
      <c r="U32" s="98"/>
      <c r="V32" s="98"/>
      <c r="W32" s="63"/>
      <c r="X32" s="63"/>
      <c r="Y32" s="63"/>
      <c r="Z32" s="63"/>
      <c r="AA32" s="63">
        <f>SUM(AA29:AA31)</f>
        <v>0</v>
      </c>
      <c r="AB32" s="64"/>
      <c r="AC32" s="62"/>
      <c r="AD32" s="62"/>
      <c r="AE32" s="82"/>
      <c r="AF32" s="67"/>
      <c r="AG32" s="98"/>
      <c r="AH32" s="98"/>
      <c r="AI32" s="98"/>
      <c r="AJ32" s="63"/>
      <c r="AK32" s="63"/>
      <c r="AL32" s="63"/>
      <c r="AM32" s="63"/>
      <c r="AN32" s="63">
        <f>SUM(AN29:AN31)</f>
        <v>0</v>
      </c>
      <c r="AO32" s="64"/>
      <c r="AP32" s="62"/>
      <c r="AQ32" s="62"/>
      <c r="AR32" s="82"/>
      <c r="AS32" s="67"/>
      <c r="AT32" s="98"/>
      <c r="AU32" s="98"/>
      <c r="AV32" s="98"/>
      <c r="AW32" s="63"/>
      <c r="AX32" s="63"/>
      <c r="AY32" s="63"/>
      <c r="AZ32" s="63"/>
      <c r="BA32" s="63">
        <f>SUM(BA29:BA31)</f>
        <v>0</v>
      </c>
      <c r="BB32" s="64"/>
      <c r="BC32" s="62"/>
      <c r="BD32" s="62"/>
      <c r="BE32" s="82"/>
      <c r="BF32" s="67"/>
      <c r="BG32" s="98"/>
      <c r="BH32" s="98"/>
      <c r="BI32" s="98"/>
      <c r="BJ32" s="63"/>
      <c r="BK32" s="63"/>
      <c r="BL32" s="63"/>
      <c r="BM32" s="63"/>
      <c r="BN32" s="63">
        <f>SUM(BN29:BN31)</f>
        <v>0</v>
      </c>
      <c r="BO32" s="64"/>
      <c r="BP32" s="66">
        <f>N32+AA32+AN32+BA32+BN32</f>
        <v>0</v>
      </c>
      <c r="BR32" s="4"/>
      <c r="BS32" s="7"/>
    </row>
    <row r="33" spans="1:71" ht="15" customHeight="1" x14ac:dyDescent="0.6">
      <c r="A33" s="216"/>
      <c r="B33" s="210"/>
      <c r="C33" s="43"/>
      <c r="D33" s="43"/>
      <c r="E33" s="58"/>
      <c r="O33" s="18"/>
      <c r="P33" s="43"/>
      <c r="Q33" s="43"/>
      <c r="AB33" s="18"/>
      <c r="AC33" s="43"/>
      <c r="AD33" s="43"/>
      <c r="AO33" s="18"/>
      <c r="AP33" s="43"/>
      <c r="AQ33" s="43"/>
      <c r="BB33" s="18"/>
      <c r="BC33" s="43"/>
      <c r="BD33" s="43"/>
      <c r="BO33" s="18"/>
      <c r="BP33" s="42"/>
      <c r="BR33" s="4"/>
      <c r="BS33" s="7"/>
    </row>
    <row r="34" spans="1:71" ht="15" customHeight="1" x14ac:dyDescent="0.7">
      <c r="A34" s="222" t="s">
        <v>36</v>
      </c>
      <c r="B34" s="223"/>
      <c r="C34" s="43"/>
      <c r="D34" s="43"/>
      <c r="E34" s="58"/>
      <c r="O34" s="18"/>
      <c r="P34" s="43"/>
      <c r="Q34" s="43"/>
      <c r="AB34" s="18"/>
      <c r="AC34" s="43"/>
      <c r="AD34" s="43"/>
      <c r="AO34" s="18"/>
      <c r="AP34" s="43"/>
      <c r="AQ34" s="43"/>
      <c r="BB34" s="18"/>
      <c r="BC34" s="43"/>
      <c r="BD34" s="43"/>
      <c r="BO34" s="18"/>
      <c r="BP34" s="42"/>
      <c r="BR34" s="4"/>
    </row>
    <row r="35" spans="1:71" ht="15" customHeight="1" x14ac:dyDescent="0.6">
      <c r="A35" s="209" t="str">
        <f>'Monthly Budget'!A41</f>
        <v>Name (CY)</v>
      </c>
      <c r="B35" s="210"/>
      <c r="C35" s="12">
        <f>'Monthly Budget'!C41</f>
        <v>0</v>
      </c>
      <c r="D35" s="41">
        <f>C35/12*1040</f>
        <v>0</v>
      </c>
      <c r="E35" s="81">
        <f>'Monthly Budget'!E41</f>
        <v>0</v>
      </c>
      <c r="F35" s="4">
        <f>E35/12</f>
        <v>0</v>
      </c>
      <c r="G35" s="97">
        <f>E35/(1040)</f>
        <v>0</v>
      </c>
      <c r="H35" s="97">
        <f>G35*Rates!B$6</f>
        <v>0</v>
      </c>
      <c r="I35" s="97">
        <f>G35+H35</f>
        <v>0</v>
      </c>
      <c r="J35" s="4">
        <f>ROUND(D35*G35, 0)</f>
        <v>0</v>
      </c>
      <c r="K35" s="4">
        <f>D35*H35</f>
        <v>0</v>
      </c>
      <c r="L35" s="4">
        <f>J35+K35</f>
        <v>0</v>
      </c>
      <c r="M35" s="4">
        <f>I35*(1+Rates!B$13)</f>
        <v>0</v>
      </c>
      <c r="N35" s="4">
        <f>D35*M35</f>
        <v>0</v>
      </c>
      <c r="O35" s="18"/>
      <c r="P35" s="12">
        <f>'Monthly Budget'!K41</f>
        <v>0</v>
      </c>
      <c r="Q35" s="41">
        <f>P35/12*1040</f>
        <v>0</v>
      </c>
      <c r="R35" s="58">
        <f>E35*1.02</f>
        <v>0</v>
      </c>
      <c r="S35" s="19">
        <f>R35/12</f>
        <v>0</v>
      </c>
      <c r="T35" s="97">
        <f>R35/(1040)</f>
        <v>0</v>
      </c>
      <c r="U35" s="97">
        <f>T35*Rates!C$6</f>
        <v>0</v>
      </c>
      <c r="V35" s="97">
        <f>T35+U35</f>
        <v>0</v>
      </c>
      <c r="W35" s="4">
        <f>ROUND(Q35*T35, 0)</f>
        <v>0</v>
      </c>
      <c r="X35" s="4">
        <f>ROUND(Q35*U35, 0)</f>
        <v>0</v>
      </c>
      <c r="Y35" s="4">
        <f>W35+X35</f>
        <v>0</v>
      </c>
      <c r="Z35" s="4">
        <f>V35*(1+Rates!C$13)</f>
        <v>0</v>
      </c>
      <c r="AA35" s="4">
        <f>Q35*Z35</f>
        <v>0</v>
      </c>
      <c r="AB35" s="18"/>
      <c r="AC35" s="12">
        <f>'Monthly Budget'!S41</f>
        <v>0</v>
      </c>
      <c r="AD35" s="41">
        <f>AC35/12*1040</f>
        <v>0</v>
      </c>
      <c r="AE35" s="58">
        <f>R35*1.02</f>
        <v>0</v>
      </c>
      <c r="AF35" s="19">
        <f>AE35/12</f>
        <v>0</v>
      </c>
      <c r="AG35" s="97">
        <f>AE35/(1040)</f>
        <v>0</v>
      </c>
      <c r="AH35" s="97">
        <f>AG35*Rates!D$6</f>
        <v>0</v>
      </c>
      <c r="AI35" s="97">
        <f>AG35+AH35</f>
        <v>0</v>
      </c>
      <c r="AJ35" s="4">
        <f>ROUND(AD35*AG35, 0)</f>
        <v>0</v>
      </c>
      <c r="AK35" s="4">
        <f>ROUND(AD35*AH35, 0)</f>
        <v>0</v>
      </c>
      <c r="AL35" s="4">
        <f>AJ35+AK35</f>
        <v>0</v>
      </c>
      <c r="AM35" s="4">
        <f>AI35*(1+Rates!D$13)</f>
        <v>0</v>
      </c>
      <c r="AN35" s="4">
        <f>AD35*AM35</f>
        <v>0</v>
      </c>
      <c r="AO35" s="18"/>
      <c r="AP35" s="12">
        <f>'Monthly Budget'!AA41</f>
        <v>0</v>
      </c>
      <c r="AQ35" s="41">
        <f>AP35/12*1040</f>
        <v>0</v>
      </c>
      <c r="AR35" s="58">
        <f>AE35*1.02</f>
        <v>0</v>
      </c>
      <c r="AS35" s="19">
        <f>AR35/12</f>
        <v>0</v>
      </c>
      <c r="AT35" s="97">
        <f>AR35/(1040)</f>
        <v>0</v>
      </c>
      <c r="AU35" s="97">
        <f>AT35*Rates!E$6</f>
        <v>0</v>
      </c>
      <c r="AV35" s="97">
        <f>AT35+AU35</f>
        <v>0</v>
      </c>
      <c r="AW35" s="4">
        <f>ROUND(AQ35*AT35, 0)</f>
        <v>0</v>
      </c>
      <c r="AX35" s="4">
        <f>ROUND(AQ35*AU35, 0)</f>
        <v>0</v>
      </c>
      <c r="AY35" s="4">
        <f>AW35+AX35</f>
        <v>0</v>
      </c>
      <c r="AZ35" s="4">
        <f>AV35*(1+Rates!E$13)</f>
        <v>0</v>
      </c>
      <c r="BA35" s="4">
        <f>AQ35*AZ35</f>
        <v>0</v>
      </c>
      <c r="BB35" s="18"/>
      <c r="BC35" s="12">
        <f>'Monthly Budget'!AI41</f>
        <v>0</v>
      </c>
      <c r="BD35" s="41">
        <f>BC35/12*1040</f>
        <v>0</v>
      </c>
      <c r="BE35" s="58">
        <f>AR35*1.02</f>
        <v>0</v>
      </c>
      <c r="BF35" s="19">
        <f>BE35/12</f>
        <v>0</v>
      </c>
      <c r="BG35" s="97">
        <f>BE35/(1040)</f>
        <v>0</v>
      </c>
      <c r="BH35" s="97">
        <f>BG35*Rates!F$6</f>
        <v>0</v>
      </c>
      <c r="BI35" s="97">
        <f>BG35+BH35</f>
        <v>0</v>
      </c>
      <c r="BJ35" s="4">
        <f>ROUND(BD35*BG35, 0)</f>
        <v>0</v>
      </c>
      <c r="BK35" s="4">
        <f>ROUND(BD35*BH35, 0)</f>
        <v>0</v>
      </c>
      <c r="BL35" s="4">
        <f>BJ35+BK35</f>
        <v>0</v>
      </c>
      <c r="BM35" s="4">
        <f>BI35*(1+Rates!F$13)</f>
        <v>0</v>
      </c>
      <c r="BN35" s="4">
        <f>BD35*BM35</f>
        <v>0</v>
      </c>
      <c r="BO35" s="18"/>
      <c r="BP35" s="42">
        <f>N35+AA35+AN35+BA35+BN35</f>
        <v>0</v>
      </c>
      <c r="BR35" s="4"/>
      <c r="BS35" s="7"/>
    </row>
    <row r="36" spans="1:71" ht="15" customHeight="1" x14ac:dyDescent="0.6">
      <c r="A36" s="209" t="str">
        <f>'Monthly Budget'!A42</f>
        <v>Name (CY)</v>
      </c>
      <c r="B36" s="210"/>
      <c r="C36" s="12">
        <f>'Monthly Budget'!C42</f>
        <v>0</v>
      </c>
      <c r="D36" s="41">
        <f>C36/12*1040</f>
        <v>0</v>
      </c>
      <c r="E36" s="81">
        <f>'Monthly Budget'!E42</f>
        <v>0</v>
      </c>
      <c r="F36" s="4">
        <f>E36/12</f>
        <v>0</v>
      </c>
      <c r="G36" s="97">
        <f>E36/(1040)</f>
        <v>0</v>
      </c>
      <c r="H36" s="97">
        <f>G36*Rates!B$6</f>
        <v>0</v>
      </c>
      <c r="I36" s="97">
        <f>G36+H36</f>
        <v>0</v>
      </c>
      <c r="J36" s="4">
        <f>ROUND(D36*G36, 0)</f>
        <v>0</v>
      </c>
      <c r="K36" s="4">
        <f>D36*H36</f>
        <v>0</v>
      </c>
      <c r="L36" s="4">
        <f>J36+K36</f>
        <v>0</v>
      </c>
      <c r="M36" s="4">
        <f>I36*(1+Rates!B$13)</f>
        <v>0</v>
      </c>
      <c r="N36" s="4">
        <f>D36*M36</f>
        <v>0</v>
      </c>
      <c r="O36" s="18"/>
      <c r="P36" s="12">
        <f>'Monthly Budget'!K42</f>
        <v>0</v>
      </c>
      <c r="Q36" s="41">
        <f>P36/12*1040</f>
        <v>0</v>
      </c>
      <c r="R36" s="58">
        <f>E36*1.02</f>
        <v>0</v>
      </c>
      <c r="S36" s="19">
        <f>R36/12</f>
        <v>0</v>
      </c>
      <c r="T36" s="97">
        <f>R36/(1040)</f>
        <v>0</v>
      </c>
      <c r="U36" s="97">
        <f>T36*Rates!C$6</f>
        <v>0</v>
      </c>
      <c r="V36" s="97">
        <f>T36+U36</f>
        <v>0</v>
      </c>
      <c r="W36" s="4">
        <f>ROUND(Q36*T36, 0)</f>
        <v>0</v>
      </c>
      <c r="X36" s="4">
        <f>ROUND(Q36*U36, 0)</f>
        <v>0</v>
      </c>
      <c r="Y36" s="4">
        <f>W36+X36</f>
        <v>0</v>
      </c>
      <c r="Z36" s="4">
        <f>V36*(1+Rates!C$13)</f>
        <v>0</v>
      </c>
      <c r="AA36" s="4">
        <f>Q36*Z36</f>
        <v>0</v>
      </c>
      <c r="AB36" s="18"/>
      <c r="AC36" s="12">
        <f>'Monthly Budget'!S42</f>
        <v>0</v>
      </c>
      <c r="AD36" s="41">
        <f>AC36/12*1040</f>
        <v>0</v>
      </c>
      <c r="AE36" s="58">
        <f>R36*1.02</f>
        <v>0</v>
      </c>
      <c r="AF36" s="19">
        <f>AE36/12</f>
        <v>0</v>
      </c>
      <c r="AG36" s="97">
        <f>AE36/(1040)</f>
        <v>0</v>
      </c>
      <c r="AH36" s="97">
        <f>AG36*Rates!D$6</f>
        <v>0</v>
      </c>
      <c r="AI36" s="97">
        <f>AG36+AH36</f>
        <v>0</v>
      </c>
      <c r="AJ36" s="4">
        <f>ROUND(AD36*AG36, 0)</f>
        <v>0</v>
      </c>
      <c r="AK36" s="4">
        <f>ROUND(AD36*AH36, 0)</f>
        <v>0</v>
      </c>
      <c r="AL36" s="4">
        <f>AJ36+AK36</f>
        <v>0</v>
      </c>
      <c r="AM36" s="4">
        <f>AI36*(1+Rates!D$13)</f>
        <v>0</v>
      </c>
      <c r="AN36" s="4">
        <f>AD36*AM36</f>
        <v>0</v>
      </c>
      <c r="AO36" s="18"/>
      <c r="AP36" s="12">
        <f>'Monthly Budget'!AA42</f>
        <v>0</v>
      </c>
      <c r="AQ36" s="41">
        <f>AP36/12*1040</f>
        <v>0</v>
      </c>
      <c r="AR36" s="58">
        <f>AE36*1.02</f>
        <v>0</v>
      </c>
      <c r="AS36" s="19">
        <f>AR36/12</f>
        <v>0</v>
      </c>
      <c r="AT36" s="97">
        <f>AR36/(1040)</f>
        <v>0</v>
      </c>
      <c r="AU36" s="97">
        <f>AT36*Rates!E$6</f>
        <v>0</v>
      </c>
      <c r="AV36" s="97">
        <f>AT36+AU36</f>
        <v>0</v>
      </c>
      <c r="AW36" s="4">
        <f>ROUND(AQ36*AT36, 0)</f>
        <v>0</v>
      </c>
      <c r="AX36" s="4">
        <f>ROUND(AQ36*AU36, 0)</f>
        <v>0</v>
      </c>
      <c r="AY36" s="4">
        <f>AW36+AX36</f>
        <v>0</v>
      </c>
      <c r="AZ36" s="4">
        <f>AV36*(1+Rates!E$13)</f>
        <v>0</v>
      </c>
      <c r="BA36" s="4">
        <f>AQ36*AZ36</f>
        <v>0</v>
      </c>
      <c r="BB36" s="18"/>
      <c r="BC36" s="12">
        <f>'Monthly Budget'!AI42</f>
        <v>0</v>
      </c>
      <c r="BD36" s="41">
        <f>BC36/12*1040</f>
        <v>0</v>
      </c>
      <c r="BE36" s="58">
        <f>AR36*1.02</f>
        <v>0</v>
      </c>
      <c r="BF36" s="19">
        <f>BE36/12</f>
        <v>0</v>
      </c>
      <c r="BG36" s="97">
        <f>BE36/(1040)</f>
        <v>0</v>
      </c>
      <c r="BH36" s="97">
        <f>BG36*Rates!F$6</f>
        <v>0</v>
      </c>
      <c r="BI36" s="97">
        <f>BG36+BH36</f>
        <v>0</v>
      </c>
      <c r="BJ36" s="4">
        <f>ROUND(BD36*BG36, 0)</f>
        <v>0</v>
      </c>
      <c r="BK36" s="4">
        <f>ROUND(BD36*BH36, 0)</f>
        <v>0</v>
      </c>
      <c r="BL36" s="4">
        <f>BJ36+BK36</f>
        <v>0</v>
      </c>
      <c r="BM36" s="4">
        <f>BI36*(1+Rates!F$13)</f>
        <v>0</v>
      </c>
      <c r="BN36" s="4">
        <f>BD36*BM36</f>
        <v>0</v>
      </c>
      <c r="BO36" s="18"/>
      <c r="BP36" s="42">
        <f>N36+AA36+AN36+BA36+BN36</f>
        <v>0</v>
      </c>
      <c r="BR36" s="4"/>
      <c r="BS36" s="7"/>
    </row>
    <row r="37" spans="1:71" ht="15" customHeight="1" x14ac:dyDescent="0.6">
      <c r="A37" s="210" t="str">
        <f>'Monthly Budget'!A43</f>
        <v>Name (CY)</v>
      </c>
      <c r="B37" s="210"/>
      <c r="C37" s="12">
        <f>'Monthly Budget'!C43</f>
        <v>0</v>
      </c>
      <c r="D37" s="41">
        <f>C37/12*1040</f>
        <v>0</v>
      </c>
      <c r="E37" s="81">
        <f>'Monthly Budget'!E43</f>
        <v>0</v>
      </c>
      <c r="F37" s="4">
        <f>E37/12</f>
        <v>0</v>
      </c>
      <c r="G37" s="97">
        <f>E37/(1040)</f>
        <v>0</v>
      </c>
      <c r="H37" s="97">
        <f>G37*Rates!B$6</f>
        <v>0</v>
      </c>
      <c r="I37" s="97">
        <f>G37+H37</f>
        <v>0</v>
      </c>
      <c r="J37" s="4">
        <f>ROUND(D37*G37, 0)</f>
        <v>0</v>
      </c>
      <c r="K37" s="4">
        <f>D37*H37</f>
        <v>0</v>
      </c>
      <c r="L37" s="4">
        <f>J37+K37</f>
        <v>0</v>
      </c>
      <c r="M37" s="4">
        <f>I37*(1+Rates!B$13)</f>
        <v>0</v>
      </c>
      <c r="N37" s="4">
        <f>D37*M37</f>
        <v>0</v>
      </c>
      <c r="O37" s="18"/>
      <c r="P37" s="12">
        <f>'Monthly Budget'!K43</f>
        <v>0</v>
      </c>
      <c r="Q37" s="41">
        <f>P37/12*1040</f>
        <v>0</v>
      </c>
      <c r="R37" s="58">
        <f>E37*1.02</f>
        <v>0</v>
      </c>
      <c r="S37" s="19">
        <f>R37/12</f>
        <v>0</v>
      </c>
      <c r="T37" s="97">
        <f>R37/(1040)</f>
        <v>0</v>
      </c>
      <c r="U37" s="97">
        <f>T37*Rates!C$6</f>
        <v>0</v>
      </c>
      <c r="V37" s="97">
        <f>T37+U37</f>
        <v>0</v>
      </c>
      <c r="W37" s="4">
        <f>ROUND(Q37*T37, 0)</f>
        <v>0</v>
      </c>
      <c r="X37" s="4">
        <f>ROUND(Q37*U37, 0)</f>
        <v>0</v>
      </c>
      <c r="Y37" s="4">
        <f>W37+X37</f>
        <v>0</v>
      </c>
      <c r="Z37" s="4">
        <f>V37*(1+Rates!C$13)</f>
        <v>0</v>
      </c>
      <c r="AA37" s="4">
        <f>Q37*Z37</f>
        <v>0</v>
      </c>
      <c r="AB37" s="18"/>
      <c r="AC37" s="12">
        <f>'Monthly Budget'!S43</f>
        <v>0</v>
      </c>
      <c r="AD37" s="41">
        <f>AC37/12*1040</f>
        <v>0</v>
      </c>
      <c r="AE37" s="58">
        <f>R37*1.02</f>
        <v>0</v>
      </c>
      <c r="AF37" s="19">
        <f>AE37/12</f>
        <v>0</v>
      </c>
      <c r="AG37" s="97">
        <f>AE37/(1040)</f>
        <v>0</v>
      </c>
      <c r="AH37" s="97">
        <f>AG37*Rates!D$6</f>
        <v>0</v>
      </c>
      <c r="AI37" s="97">
        <f>AG37+AH37</f>
        <v>0</v>
      </c>
      <c r="AJ37" s="4">
        <f>ROUND(AD37*AG37, 0)</f>
        <v>0</v>
      </c>
      <c r="AK37" s="4">
        <f>ROUND(AD37*AH37, 0)</f>
        <v>0</v>
      </c>
      <c r="AL37" s="4">
        <f>AJ37+AK37</f>
        <v>0</v>
      </c>
      <c r="AM37" s="4">
        <f>AI37*(1+Rates!D$13)</f>
        <v>0</v>
      </c>
      <c r="AN37" s="4">
        <f>AD37*AM37</f>
        <v>0</v>
      </c>
      <c r="AO37" s="18"/>
      <c r="AP37" s="12">
        <f>'Monthly Budget'!AA43</f>
        <v>0</v>
      </c>
      <c r="AQ37" s="41">
        <f>AP37/12*1040</f>
        <v>0</v>
      </c>
      <c r="AR37" s="58">
        <f>AE37*1.02</f>
        <v>0</v>
      </c>
      <c r="AS37" s="19">
        <f>AR37/12</f>
        <v>0</v>
      </c>
      <c r="AT37" s="97">
        <f>AR37/(1040)</f>
        <v>0</v>
      </c>
      <c r="AU37" s="97">
        <f>AT37*Rates!E$6</f>
        <v>0</v>
      </c>
      <c r="AV37" s="97">
        <f>AT37+AU37</f>
        <v>0</v>
      </c>
      <c r="AW37" s="4">
        <f>ROUND(AQ37*AT37, 0)</f>
        <v>0</v>
      </c>
      <c r="AX37" s="4">
        <f>ROUND(AQ37*AU37, 0)</f>
        <v>0</v>
      </c>
      <c r="AY37" s="4">
        <f>AW37+AX37</f>
        <v>0</v>
      </c>
      <c r="AZ37" s="4">
        <f>AV37*(1+Rates!E$13)</f>
        <v>0</v>
      </c>
      <c r="BA37" s="4">
        <f>AQ37*AZ37</f>
        <v>0</v>
      </c>
      <c r="BB37" s="18"/>
      <c r="BC37" s="12">
        <f>'Monthly Budget'!AI43</f>
        <v>0</v>
      </c>
      <c r="BD37" s="41">
        <f>BC37/12*1040</f>
        <v>0</v>
      </c>
      <c r="BE37" s="58">
        <f>AR37*1.02</f>
        <v>0</v>
      </c>
      <c r="BF37" s="19">
        <f>BE37/12</f>
        <v>0</v>
      </c>
      <c r="BG37" s="97">
        <f>BE37/(1040)</f>
        <v>0</v>
      </c>
      <c r="BH37" s="97">
        <f>BG37*Rates!F$6</f>
        <v>0</v>
      </c>
      <c r="BI37" s="97">
        <f>BG37+BH37</f>
        <v>0</v>
      </c>
      <c r="BJ37" s="4">
        <f>ROUND(BD37*BG37, 0)</f>
        <v>0</v>
      </c>
      <c r="BK37" s="4">
        <f>ROUND(BD37*BH37, 0)</f>
        <v>0</v>
      </c>
      <c r="BL37" s="4">
        <f>BJ37+BK37</f>
        <v>0</v>
      </c>
      <c r="BM37" s="4">
        <f>BI37*(1+Rates!F$13)</f>
        <v>0</v>
      </c>
      <c r="BN37" s="4">
        <f>BD37*BM37</f>
        <v>0</v>
      </c>
      <c r="BO37" s="18"/>
      <c r="BP37" s="42">
        <f>N37+AA37+AN37+BA37+BN37</f>
        <v>0</v>
      </c>
      <c r="BR37" s="4"/>
      <c r="BS37" s="7"/>
    </row>
    <row r="38" spans="1:71" ht="15" customHeight="1" x14ac:dyDescent="0.6">
      <c r="A38" s="210" t="str">
        <f>'Monthly Budget'!A44</f>
        <v>Name (AY)</v>
      </c>
      <c r="B38" s="210"/>
      <c r="C38" s="12">
        <f>'Monthly Budget'!C44</f>
        <v>0</v>
      </c>
      <c r="D38" s="41">
        <f>C38/9*780</f>
        <v>0</v>
      </c>
      <c r="E38" s="81">
        <f>'Monthly Budget'!E44</f>
        <v>0</v>
      </c>
      <c r="F38" s="4">
        <f>E38/9</f>
        <v>0</v>
      </c>
      <c r="G38" s="97">
        <f>E38/(780)</f>
        <v>0</v>
      </c>
      <c r="H38" s="97">
        <f>G38*Rates!B$6</f>
        <v>0</v>
      </c>
      <c r="I38" s="97">
        <f t="shared" ref="I38:I43" si="36">G38+H38</f>
        <v>0</v>
      </c>
      <c r="J38" s="4">
        <f t="shared" ref="J38:J43" si="37">ROUND(D38*G38, 0)</f>
        <v>0</v>
      </c>
      <c r="K38" s="4">
        <f t="shared" ref="K38:K43" si="38">D38*H38</f>
        <v>0</v>
      </c>
      <c r="L38" s="4">
        <f t="shared" ref="L38:L43" si="39">J38+K38</f>
        <v>0</v>
      </c>
      <c r="M38" s="4">
        <f>I38*(1+Rates!B$13)</f>
        <v>0</v>
      </c>
      <c r="N38" s="4">
        <f t="shared" ref="N38:N43" si="40">D38*M38</f>
        <v>0</v>
      </c>
      <c r="O38" s="18"/>
      <c r="P38" s="12">
        <f>'Monthly Budget'!K44</f>
        <v>0</v>
      </c>
      <c r="Q38" s="41">
        <f>P38/9*780</f>
        <v>0</v>
      </c>
      <c r="R38" s="58">
        <f t="shared" ref="R38:R43" si="41">E38*1.02</f>
        <v>0</v>
      </c>
      <c r="S38" s="19">
        <f>R38/9</f>
        <v>0</v>
      </c>
      <c r="T38" s="97">
        <f>R38/(780)</f>
        <v>0</v>
      </c>
      <c r="U38" s="97">
        <f>T38*Rates!C$6</f>
        <v>0</v>
      </c>
      <c r="V38" s="97">
        <f t="shared" ref="V38:V43" si="42">T38+U38</f>
        <v>0</v>
      </c>
      <c r="W38" s="4">
        <f t="shared" ref="W38:W43" si="43">ROUND(Q38*T38, 0)</f>
        <v>0</v>
      </c>
      <c r="X38" s="4">
        <f t="shared" ref="X38:X43" si="44">ROUND(Q38*U38, 0)</f>
        <v>0</v>
      </c>
      <c r="Y38" s="4">
        <f t="shared" ref="Y38:Y43" si="45">W38+X38</f>
        <v>0</v>
      </c>
      <c r="Z38" s="4">
        <f>V38*(1+Rates!C$13)</f>
        <v>0</v>
      </c>
      <c r="AA38" s="4">
        <f t="shared" ref="AA38:AA43" si="46">Q38*Z38</f>
        <v>0</v>
      </c>
      <c r="AB38" s="18"/>
      <c r="AC38" s="12">
        <f>'Monthly Budget'!S44</f>
        <v>0</v>
      </c>
      <c r="AD38" s="41">
        <f>AC38/9*780</f>
        <v>0</v>
      </c>
      <c r="AE38" s="58">
        <f t="shared" ref="AE38:AE43" si="47">R38*1.02</f>
        <v>0</v>
      </c>
      <c r="AF38" s="19">
        <f>AE38/9</f>
        <v>0</v>
      </c>
      <c r="AG38" s="97">
        <f>AE38/(780)</f>
        <v>0</v>
      </c>
      <c r="AH38" s="97">
        <f>AG38*Rates!D$6</f>
        <v>0</v>
      </c>
      <c r="AI38" s="97">
        <f t="shared" ref="AI38:AI43" si="48">AG38+AH38</f>
        <v>0</v>
      </c>
      <c r="AJ38" s="4">
        <f t="shared" ref="AJ38:AJ43" si="49">ROUND(AD38*AG38, 0)</f>
        <v>0</v>
      </c>
      <c r="AK38" s="4">
        <f t="shared" ref="AK38:AK43" si="50">ROUND(AD38*AH38, 0)</f>
        <v>0</v>
      </c>
      <c r="AL38" s="4">
        <f t="shared" ref="AL38:AL43" si="51">AJ38+AK38</f>
        <v>0</v>
      </c>
      <c r="AM38" s="4">
        <f>AI38*(1+Rates!D$13)</f>
        <v>0</v>
      </c>
      <c r="AN38" s="4">
        <f t="shared" ref="AN38:AN43" si="52">AD38*AM38</f>
        <v>0</v>
      </c>
      <c r="AO38" s="18"/>
      <c r="AP38" s="12">
        <f>'Monthly Budget'!AA44</f>
        <v>0</v>
      </c>
      <c r="AQ38" s="41">
        <f>AP38/9*780</f>
        <v>0</v>
      </c>
      <c r="AR38" s="58">
        <f t="shared" ref="AR38:AR43" si="53">AE38*1.02</f>
        <v>0</v>
      </c>
      <c r="AS38" s="19">
        <f>AR38/9</f>
        <v>0</v>
      </c>
      <c r="AT38" s="97">
        <f>AR38/(780)</f>
        <v>0</v>
      </c>
      <c r="AU38" s="97">
        <f>AT38*Rates!E$6</f>
        <v>0</v>
      </c>
      <c r="AV38" s="97">
        <f t="shared" ref="AV38:AV43" si="54">AT38+AU38</f>
        <v>0</v>
      </c>
      <c r="AW38" s="4">
        <f t="shared" ref="AW38:AW43" si="55">ROUND(AQ38*AT38, 0)</f>
        <v>0</v>
      </c>
      <c r="AX38" s="4">
        <f t="shared" ref="AX38:AX43" si="56">ROUND(AQ38*AU38, 0)</f>
        <v>0</v>
      </c>
      <c r="AY38" s="4">
        <f t="shared" ref="AY38:AY43" si="57">AW38+AX38</f>
        <v>0</v>
      </c>
      <c r="AZ38" s="4">
        <f>AV38*(1+Rates!E$13)</f>
        <v>0</v>
      </c>
      <c r="BA38" s="4">
        <f t="shared" ref="BA38:BA43" si="58">AQ38*AZ38</f>
        <v>0</v>
      </c>
      <c r="BB38" s="18"/>
      <c r="BC38" s="12">
        <f>'Monthly Budget'!AI44</f>
        <v>0</v>
      </c>
      <c r="BD38" s="41">
        <f>BC38/9*780</f>
        <v>0</v>
      </c>
      <c r="BE38" s="58">
        <f t="shared" ref="BE38:BE43" si="59">AR38*1.02</f>
        <v>0</v>
      </c>
      <c r="BF38" s="19">
        <f>BE38/9</f>
        <v>0</v>
      </c>
      <c r="BG38" s="97">
        <f>BE38/(780)</f>
        <v>0</v>
      </c>
      <c r="BH38" s="97">
        <f>BG38*Rates!F$6</f>
        <v>0</v>
      </c>
      <c r="BI38" s="97">
        <f t="shared" ref="BI38:BI43" si="60">BG38+BH38</f>
        <v>0</v>
      </c>
      <c r="BJ38" s="4">
        <f t="shared" ref="BJ38:BJ43" si="61">ROUND(BD38*BG38, 0)</f>
        <v>0</v>
      </c>
      <c r="BK38" s="4">
        <f t="shared" ref="BK38:BK43" si="62">ROUND(BD38*BH38, 0)</f>
        <v>0</v>
      </c>
      <c r="BL38" s="4">
        <f t="shared" ref="BL38:BL43" si="63">BJ38+BK38</f>
        <v>0</v>
      </c>
      <c r="BM38" s="4">
        <f>BI38*(1+Rates!F$13)</f>
        <v>0</v>
      </c>
      <c r="BN38" s="4">
        <f t="shared" ref="BN38:BN43" si="64">BD38*BM38</f>
        <v>0</v>
      </c>
      <c r="BO38" s="18"/>
      <c r="BP38" s="42">
        <f t="shared" ref="BP38:BP43" si="65">N38+AA38+AN38+BA38+BN38</f>
        <v>0</v>
      </c>
      <c r="BR38" s="4"/>
      <c r="BS38" s="7"/>
    </row>
    <row r="39" spans="1:71" ht="15" customHeight="1" x14ac:dyDescent="0.6">
      <c r="A39" s="210" t="str">
        <f>'Monthly Budget'!A45</f>
        <v>Name (AY)</v>
      </c>
      <c r="B39" s="210"/>
      <c r="C39" s="12">
        <f>'Monthly Budget'!C45</f>
        <v>0</v>
      </c>
      <c r="D39" s="41">
        <f t="shared" ref="D39:D40" si="66">C39/9*780</f>
        <v>0</v>
      </c>
      <c r="E39" s="81">
        <f>'Monthly Budget'!E45</f>
        <v>0</v>
      </c>
      <c r="F39" s="4">
        <f>E39/9</f>
        <v>0</v>
      </c>
      <c r="G39" s="97">
        <f t="shared" ref="G39:G40" si="67">E39/(780)</f>
        <v>0</v>
      </c>
      <c r="H39" s="97">
        <f>G39*Rates!B$6</f>
        <v>0</v>
      </c>
      <c r="I39" s="97">
        <f t="shared" si="36"/>
        <v>0</v>
      </c>
      <c r="J39" s="4">
        <f t="shared" si="37"/>
        <v>0</v>
      </c>
      <c r="K39" s="4">
        <f t="shared" si="38"/>
        <v>0</v>
      </c>
      <c r="L39" s="4">
        <f t="shared" si="39"/>
        <v>0</v>
      </c>
      <c r="M39" s="4">
        <f>I39*(1+Rates!B$13)</f>
        <v>0</v>
      </c>
      <c r="N39" s="4">
        <f t="shared" si="40"/>
        <v>0</v>
      </c>
      <c r="O39" s="18"/>
      <c r="P39" s="12">
        <f>'Monthly Budget'!K45</f>
        <v>0</v>
      </c>
      <c r="Q39" s="41">
        <f t="shared" ref="Q39:Q40" si="68">P39/9*780</f>
        <v>0</v>
      </c>
      <c r="R39" s="58">
        <f t="shared" si="41"/>
        <v>0</v>
      </c>
      <c r="S39" s="19">
        <f>R39/9</f>
        <v>0</v>
      </c>
      <c r="T39" s="97">
        <f t="shared" ref="T39:T40" si="69">R39/(780)</f>
        <v>0</v>
      </c>
      <c r="U39" s="97">
        <f>T39*Rates!C$6</f>
        <v>0</v>
      </c>
      <c r="V39" s="97">
        <f t="shared" si="42"/>
        <v>0</v>
      </c>
      <c r="W39" s="4">
        <f t="shared" si="43"/>
        <v>0</v>
      </c>
      <c r="X39" s="4">
        <f t="shared" si="44"/>
        <v>0</v>
      </c>
      <c r="Y39" s="4">
        <f t="shared" si="45"/>
        <v>0</v>
      </c>
      <c r="Z39" s="4">
        <f>V39*(1+Rates!C$13)</f>
        <v>0</v>
      </c>
      <c r="AA39" s="4">
        <f t="shared" si="46"/>
        <v>0</v>
      </c>
      <c r="AB39" s="18"/>
      <c r="AC39" s="12">
        <f>'Monthly Budget'!S45</f>
        <v>0</v>
      </c>
      <c r="AD39" s="41">
        <f t="shared" ref="AD39:AD40" si="70">AC39/9*780</f>
        <v>0</v>
      </c>
      <c r="AE39" s="58">
        <f t="shared" si="47"/>
        <v>0</v>
      </c>
      <c r="AF39" s="19">
        <f>AE39/9</f>
        <v>0</v>
      </c>
      <c r="AG39" s="97">
        <f t="shared" ref="AG39:AG40" si="71">AE39/(780)</f>
        <v>0</v>
      </c>
      <c r="AH39" s="97">
        <f>AG39*Rates!D$6</f>
        <v>0</v>
      </c>
      <c r="AI39" s="97">
        <f t="shared" si="48"/>
        <v>0</v>
      </c>
      <c r="AJ39" s="4">
        <f t="shared" si="49"/>
        <v>0</v>
      </c>
      <c r="AK39" s="4">
        <f t="shared" si="50"/>
        <v>0</v>
      </c>
      <c r="AL39" s="4">
        <f t="shared" si="51"/>
        <v>0</v>
      </c>
      <c r="AM39" s="4">
        <f>AI39*(1+Rates!D$13)</f>
        <v>0</v>
      </c>
      <c r="AN39" s="4">
        <f t="shared" si="52"/>
        <v>0</v>
      </c>
      <c r="AO39" s="18"/>
      <c r="AP39" s="12">
        <f>'Monthly Budget'!AA45</f>
        <v>0</v>
      </c>
      <c r="AQ39" s="41">
        <f t="shared" ref="AQ39:AQ40" si="72">AP39/9*780</f>
        <v>0</v>
      </c>
      <c r="AR39" s="58">
        <f t="shared" si="53"/>
        <v>0</v>
      </c>
      <c r="AS39" s="19">
        <f>AR39/9</f>
        <v>0</v>
      </c>
      <c r="AT39" s="97">
        <f t="shared" ref="AT39:AT40" si="73">AR39/(780)</f>
        <v>0</v>
      </c>
      <c r="AU39" s="97">
        <f>AT39*Rates!E$6</f>
        <v>0</v>
      </c>
      <c r="AV39" s="97">
        <f t="shared" si="54"/>
        <v>0</v>
      </c>
      <c r="AW39" s="4">
        <f t="shared" si="55"/>
        <v>0</v>
      </c>
      <c r="AX39" s="4">
        <f t="shared" si="56"/>
        <v>0</v>
      </c>
      <c r="AY39" s="4">
        <f t="shared" si="57"/>
        <v>0</v>
      </c>
      <c r="AZ39" s="4">
        <f>AV39*(1+Rates!E$13)</f>
        <v>0</v>
      </c>
      <c r="BA39" s="4">
        <f t="shared" si="58"/>
        <v>0</v>
      </c>
      <c r="BB39" s="18"/>
      <c r="BC39" s="12">
        <f>'Monthly Budget'!AI45</f>
        <v>0</v>
      </c>
      <c r="BD39" s="41">
        <f t="shared" ref="BD39:BD40" si="74">BC39/9*780</f>
        <v>0</v>
      </c>
      <c r="BE39" s="58">
        <f t="shared" si="59"/>
        <v>0</v>
      </c>
      <c r="BF39" s="19">
        <f>BE39/9</f>
        <v>0</v>
      </c>
      <c r="BG39" s="97">
        <f t="shared" ref="BG39:BG40" si="75">BE39/(780)</f>
        <v>0</v>
      </c>
      <c r="BH39" s="97">
        <f>BG39*Rates!F$6</f>
        <v>0</v>
      </c>
      <c r="BI39" s="97">
        <f t="shared" si="60"/>
        <v>0</v>
      </c>
      <c r="BJ39" s="4">
        <f t="shared" si="61"/>
        <v>0</v>
      </c>
      <c r="BK39" s="4">
        <f t="shared" si="62"/>
        <v>0</v>
      </c>
      <c r="BL39" s="4">
        <f t="shared" si="63"/>
        <v>0</v>
      </c>
      <c r="BM39" s="4">
        <f>BI39*(1+Rates!F$13)</f>
        <v>0</v>
      </c>
      <c r="BN39" s="4">
        <f t="shared" si="64"/>
        <v>0</v>
      </c>
      <c r="BO39" s="18"/>
      <c r="BP39" s="42">
        <f t="shared" si="65"/>
        <v>0</v>
      </c>
      <c r="BR39" s="4"/>
      <c r="BS39" s="7"/>
    </row>
    <row r="40" spans="1:71" ht="15" customHeight="1" x14ac:dyDescent="0.6">
      <c r="A40" s="210" t="str">
        <f>'Monthly Budget'!A46</f>
        <v>Name (AY)</v>
      </c>
      <c r="B40" s="210"/>
      <c r="C40" s="12">
        <f>'Monthly Budget'!C46</f>
        <v>0</v>
      </c>
      <c r="D40" s="41">
        <f t="shared" si="66"/>
        <v>0</v>
      </c>
      <c r="E40" s="81">
        <f>'Monthly Budget'!E46</f>
        <v>0</v>
      </c>
      <c r="F40" s="4">
        <f>E40/9</f>
        <v>0</v>
      </c>
      <c r="G40" s="97">
        <f t="shared" si="67"/>
        <v>0</v>
      </c>
      <c r="H40" s="97">
        <f>G40*Rates!B$6</f>
        <v>0</v>
      </c>
      <c r="I40" s="97">
        <f t="shared" si="36"/>
        <v>0</v>
      </c>
      <c r="J40" s="4">
        <f t="shared" si="37"/>
        <v>0</v>
      </c>
      <c r="K40" s="4">
        <f t="shared" si="38"/>
        <v>0</v>
      </c>
      <c r="L40" s="4">
        <f t="shared" si="39"/>
        <v>0</v>
      </c>
      <c r="M40" s="4">
        <f>I40*(1+Rates!B$13)</f>
        <v>0</v>
      </c>
      <c r="N40" s="4">
        <f t="shared" si="40"/>
        <v>0</v>
      </c>
      <c r="O40" s="18"/>
      <c r="P40" s="12">
        <f>'Monthly Budget'!K46</f>
        <v>0</v>
      </c>
      <c r="Q40" s="41">
        <f t="shared" si="68"/>
        <v>0</v>
      </c>
      <c r="R40" s="58">
        <f t="shared" si="41"/>
        <v>0</v>
      </c>
      <c r="S40" s="19">
        <f>R40/9</f>
        <v>0</v>
      </c>
      <c r="T40" s="97">
        <f t="shared" si="69"/>
        <v>0</v>
      </c>
      <c r="U40" s="97">
        <f>T40*Rates!C$6</f>
        <v>0</v>
      </c>
      <c r="V40" s="97">
        <f t="shared" si="42"/>
        <v>0</v>
      </c>
      <c r="W40" s="4">
        <f t="shared" si="43"/>
        <v>0</v>
      </c>
      <c r="X40" s="4">
        <f t="shared" si="44"/>
        <v>0</v>
      </c>
      <c r="Y40" s="4">
        <f t="shared" si="45"/>
        <v>0</v>
      </c>
      <c r="Z40" s="4">
        <f>V40*(1+Rates!C$13)</f>
        <v>0</v>
      </c>
      <c r="AA40" s="4">
        <f t="shared" si="46"/>
        <v>0</v>
      </c>
      <c r="AB40" s="18"/>
      <c r="AC40" s="12">
        <f>'Monthly Budget'!S46</f>
        <v>0</v>
      </c>
      <c r="AD40" s="41">
        <f t="shared" si="70"/>
        <v>0</v>
      </c>
      <c r="AE40" s="58">
        <f t="shared" si="47"/>
        <v>0</v>
      </c>
      <c r="AF40" s="19">
        <f>AE40/9</f>
        <v>0</v>
      </c>
      <c r="AG40" s="97">
        <f t="shared" si="71"/>
        <v>0</v>
      </c>
      <c r="AH40" s="97">
        <f>AG40*Rates!D$6</f>
        <v>0</v>
      </c>
      <c r="AI40" s="97">
        <f t="shared" si="48"/>
        <v>0</v>
      </c>
      <c r="AJ40" s="4">
        <f t="shared" si="49"/>
        <v>0</v>
      </c>
      <c r="AK40" s="4">
        <f t="shared" si="50"/>
        <v>0</v>
      </c>
      <c r="AL40" s="4">
        <f t="shared" si="51"/>
        <v>0</v>
      </c>
      <c r="AM40" s="4">
        <f>AI40*(1+Rates!D$13)</f>
        <v>0</v>
      </c>
      <c r="AN40" s="4">
        <f t="shared" si="52"/>
        <v>0</v>
      </c>
      <c r="AO40" s="18"/>
      <c r="AP40" s="12">
        <f>'Monthly Budget'!AA46</f>
        <v>0</v>
      </c>
      <c r="AQ40" s="41">
        <f t="shared" si="72"/>
        <v>0</v>
      </c>
      <c r="AR40" s="58">
        <f t="shared" si="53"/>
        <v>0</v>
      </c>
      <c r="AS40" s="19">
        <f>AR40/9</f>
        <v>0</v>
      </c>
      <c r="AT40" s="97">
        <f t="shared" si="73"/>
        <v>0</v>
      </c>
      <c r="AU40" s="97">
        <f>AT40*Rates!E$6</f>
        <v>0</v>
      </c>
      <c r="AV40" s="97">
        <f t="shared" si="54"/>
        <v>0</v>
      </c>
      <c r="AW40" s="4">
        <f t="shared" si="55"/>
        <v>0</v>
      </c>
      <c r="AX40" s="4">
        <f t="shared" si="56"/>
        <v>0</v>
      </c>
      <c r="AY40" s="4">
        <f t="shared" si="57"/>
        <v>0</v>
      </c>
      <c r="AZ40" s="4">
        <f>AV40*(1+Rates!E$13)</f>
        <v>0</v>
      </c>
      <c r="BA40" s="4">
        <f t="shared" si="58"/>
        <v>0</v>
      </c>
      <c r="BB40" s="18"/>
      <c r="BC40" s="12">
        <f>'Monthly Budget'!AI46</f>
        <v>0</v>
      </c>
      <c r="BD40" s="41">
        <f t="shared" si="74"/>
        <v>0</v>
      </c>
      <c r="BE40" s="58">
        <f t="shared" si="59"/>
        <v>0</v>
      </c>
      <c r="BF40" s="19">
        <f>BE40/9</f>
        <v>0</v>
      </c>
      <c r="BG40" s="97">
        <f t="shared" si="75"/>
        <v>0</v>
      </c>
      <c r="BH40" s="97">
        <f>BG40*Rates!F$6</f>
        <v>0</v>
      </c>
      <c r="BI40" s="97">
        <f t="shared" si="60"/>
        <v>0</v>
      </c>
      <c r="BJ40" s="4">
        <f t="shared" si="61"/>
        <v>0</v>
      </c>
      <c r="BK40" s="4">
        <f t="shared" si="62"/>
        <v>0</v>
      </c>
      <c r="BL40" s="4">
        <f t="shared" si="63"/>
        <v>0</v>
      </c>
      <c r="BM40" s="4">
        <f>BI40*(1+Rates!F$13)</f>
        <v>0</v>
      </c>
      <c r="BN40" s="4">
        <f t="shared" si="64"/>
        <v>0</v>
      </c>
      <c r="BO40" s="18"/>
      <c r="BP40" s="42">
        <f t="shared" si="65"/>
        <v>0</v>
      </c>
      <c r="BR40" s="4"/>
      <c r="BS40" s="7"/>
    </row>
    <row r="41" spans="1:71" ht="15" customHeight="1" x14ac:dyDescent="0.6">
      <c r="A41" s="210" t="str">
        <f>'Monthly Budget'!A47</f>
        <v>Name (Summer)</v>
      </c>
      <c r="B41" s="210"/>
      <c r="C41" s="12">
        <f>'Monthly Budget'!C47</f>
        <v>0</v>
      </c>
      <c r="D41" s="41">
        <f>C41/3*260</f>
        <v>0</v>
      </c>
      <c r="E41" s="81">
        <f>'Monthly Budget'!E47</f>
        <v>0</v>
      </c>
      <c r="F41" s="4">
        <f>E41/3</f>
        <v>0</v>
      </c>
      <c r="G41" s="97">
        <f>E41/(260)</f>
        <v>0</v>
      </c>
      <c r="H41" s="97">
        <f>G41*Rates!B$6</f>
        <v>0</v>
      </c>
      <c r="I41" s="97">
        <f t="shared" si="36"/>
        <v>0</v>
      </c>
      <c r="J41" s="4">
        <f t="shared" si="37"/>
        <v>0</v>
      </c>
      <c r="K41" s="4">
        <f t="shared" si="38"/>
        <v>0</v>
      </c>
      <c r="L41" s="4">
        <f t="shared" si="39"/>
        <v>0</v>
      </c>
      <c r="M41" s="4">
        <f>I41*(1+Rates!B$13)</f>
        <v>0</v>
      </c>
      <c r="N41" s="4">
        <f t="shared" si="40"/>
        <v>0</v>
      </c>
      <c r="O41" s="18"/>
      <c r="P41" s="12">
        <f>'Monthly Budget'!K47</f>
        <v>0</v>
      </c>
      <c r="Q41" s="41">
        <f>P41/3*260</f>
        <v>0</v>
      </c>
      <c r="R41" s="58">
        <f t="shared" si="41"/>
        <v>0</v>
      </c>
      <c r="S41" s="19">
        <f>R41/3</f>
        <v>0</v>
      </c>
      <c r="T41" s="97">
        <f>R41/(260)</f>
        <v>0</v>
      </c>
      <c r="U41" s="97">
        <f>T41*Rates!C$6</f>
        <v>0</v>
      </c>
      <c r="V41" s="97">
        <f t="shared" si="42"/>
        <v>0</v>
      </c>
      <c r="W41" s="4">
        <f t="shared" si="43"/>
        <v>0</v>
      </c>
      <c r="X41" s="4">
        <f t="shared" si="44"/>
        <v>0</v>
      </c>
      <c r="Y41" s="4">
        <f t="shared" si="45"/>
        <v>0</v>
      </c>
      <c r="Z41" s="4">
        <f>V41*(1+Rates!C$13)</f>
        <v>0</v>
      </c>
      <c r="AA41" s="4">
        <f t="shared" si="46"/>
        <v>0</v>
      </c>
      <c r="AB41" s="18"/>
      <c r="AC41" s="12">
        <f>'Monthly Budget'!S47</f>
        <v>0</v>
      </c>
      <c r="AD41" s="41">
        <f>AC41/3*260</f>
        <v>0</v>
      </c>
      <c r="AE41" s="58">
        <f t="shared" si="47"/>
        <v>0</v>
      </c>
      <c r="AF41" s="19">
        <f>AE41/3</f>
        <v>0</v>
      </c>
      <c r="AG41" s="97">
        <f>AE41/(260)</f>
        <v>0</v>
      </c>
      <c r="AH41" s="97">
        <f>AG41*Rates!D$6</f>
        <v>0</v>
      </c>
      <c r="AI41" s="97">
        <f t="shared" si="48"/>
        <v>0</v>
      </c>
      <c r="AJ41" s="4">
        <f t="shared" si="49"/>
        <v>0</v>
      </c>
      <c r="AK41" s="4">
        <f t="shared" si="50"/>
        <v>0</v>
      </c>
      <c r="AL41" s="4">
        <f t="shared" si="51"/>
        <v>0</v>
      </c>
      <c r="AM41" s="4">
        <f>AI41*(1+Rates!D$13)</f>
        <v>0</v>
      </c>
      <c r="AN41" s="4">
        <f t="shared" si="52"/>
        <v>0</v>
      </c>
      <c r="AO41" s="18"/>
      <c r="AP41" s="12">
        <f>'Monthly Budget'!AA47</f>
        <v>0</v>
      </c>
      <c r="AQ41" s="41">
        <f>AP41/3*260</f>
        <v>0</v>
      </c>
      <c r="AR41" s="58">
        <f t="shared" si="53"/>
        <v>0</v>
      </c>
      <c r="AS41" s="19">
        <f>AR41/3</f>
        <v>0</v>
      </c>
      <c r="AT41" s="97">
        <f>AR41/(260)</f>
        <v>0</v>
      </c>
      <c r="AU41" s="97">
        <f>AT41*Rates!E$6</f>
        <v>0</v>
      </c>
      <c r="AV41" s="97">
        <f t="shared" si="54"/>
        <v>0</v>
      </c>
      <c r="AW41" s="4">
        <f t="shared" si="55"/>
        <v>0</v>
      </c>
      <c r="AX41" s="4">
        <f t="shared" si="56"/>
        <v>0</v>
      </c>
      <c r="AY41" s="4">
        <f t="shared" si="57"/>
        <v>0</v>
      </c>
      <c r="AZ41" s="4">
        <f>AV41*(1+Rates!E$13)</f>
        <v>0</v>
      </c>
      <c r="BA41" s="4">
        <f t="shared" si="58"/>
        <v>0</v>
      </c>
      <c r="BB41" s="18"/>
      <c r="BC41" s="12">
        <f>'Monthly Budget'!AI47</f>
        <v>0</v>
      </c>
      <c r="BD41" s="41">
        <f>BC41/3*260</f>
        <v>0</v>
      </c>
      <c r="BE41" s="58">
        <f t="shared" si="59"/>
        <v>0</v>
      </c>
      <c r="BF41" s="19">
        <f>BE41/3</f>
        <v>0</v>
      </c>
      <c r="BG41" s="97">
        <f>BE41/(260)</f>
        <v>0</v>
      </c>
      <c r="BH41" s="97">
        <f>BG41*Rates!F$6</f>
        <v>0</v>
      </c>
      <c r="BI41" s="97">
        <f t="shared" si="60"/>
        <v>0</v>
      </c>
      <c r="BJ41" s="4">
        <f t="shared" si="61"/>
        <v>0</v>
      </c>
      <c r="BK41" s="4">
        <f t="shared" si="62"/>
        <v>0</v>
      </c>
      <c r="BL41" s="4">
        <f t="shared" si="63"/>
        <v>0</v>
      </c>
      <c r="BM41" s="4">
        <f>BI41*(1+Rates!F$13)</f>
        <v>0</v>
      </c>
      <c r="BN41" s="4">
        <f t="shared" si="64"/>
        <v>0</v>
      </c>
      <c r="BO41" s="18"/>
      <c r="BP41" s="42">
        <f t="shared" si="65"/>
        <v>0</v>
      </c>
      <c r="BR41" s="4"/>
      <c r="BS41" s="7"/>
    </row>
    <row r="42" spans="1:71" ht="15" customHeight="1" x14ac:dyDescent="0.6">
      <c r="A42" s="210" t="str">
        <f>'Monthly Budget'!A48</f>
        <v>Name (Summer)</v>
      </c>
      <c r="B42" s="210"/>
      <c r="C42" s="12">
        <f>'Monthly Budget'!C48</f>
        <v>0</v>
      </c>
      <c r="D42" s="41">
        <f>C42/3*260</f>
        <v>0</v>
      </c>
      <c r="E42" s="81">
        <f>'Monthly Budget'!E48</f>
        <v>0</v>
      </c>
      <c r="F42" s="4">
        <f>E42/3</f>
        <v>0</v>
      </c>
      <c r="G42" s="97">
        <f>E42/(260)</f>
        <v>0</v>
      </c>
      <c r="H42" s="97">
        <f>G42*Rates!B$6</f>
        <v>0</v>
      </c>
      <c r="I42" s="97">
        <f t="shared" si="36"/>
        <v>0</v>
      </c>
      <c r="J42" s="4">
        <f t="shared" si="37"/>
        <v>0</v>
      </c>
      <c r="K42" s="4">
        <f t="shared" si="38"/>
        <v>0</v>
      </c>
      <c r="L42" s="4">
        <f t="shared" si="39"/>
        <v>0</v>
      </c>
      <c r="M42" s="4">
        <f>I42*(1+Rates!B$13)</f>
        <v>0</v>
      </c>
      <c r="N42" s="4">
        <f t="shared" si="40"/>
        <v>0</v>
      </c>
      <c r="O42" s="18"/>
      <c r="P42" s="12">
        <f>'Monthly Budget'!K48</f>
        <v>0</v>
      </c>
      <c r="Q42" s="41">
        <f>P42/3*260</f>
        <v>0</v>
      </c>
      <c r="R42" s="58">
        <f t="shared" si="41"/>
        <v>0</v>
      </c>
      <c r="S42" s="19">
        <f>R42/3</f>
        <v>0</v>
      </c>
      <c r="T42" s="97">
        <f>R42/(260)</f>
        <v>0</v>
      </c>
      <c r="U42" s="97">
        <f>T42*Rates!C$6</f>
        <v>0</v>
      </c>
      <c r="V42" s="97">
        <f t="shared" si="42"/>
        <v>0</v>
      </c>
      <c r="W42" s="4">
        <f t="shared" si="43"/>
        <v>0</v>
      </c>
      <c r="X42" s="4">
        <f t="shared" si="44"/>
        <v>0</v>
      </c>
      <c r="Y42" s="4">
        <f t="shared" si="45"/>
        <v>0</v>
      </c>
      <c r="Z42" s="4">
        <f>V42*(1+Rates!C$13)</f>
        <v>0</v>
      </c>
      <c r="AA42" s="4">
        <f t="shared" si="46"/>
        <v>0</v>
      </c>
      <c r="AB42" s="18"/>
      <c r="AC42" s="12">
        <f>'Monthly Budget'!S48</f>
        <v>0</v>
      </c>
      <c r="AD42" s="41">
        <f>AC42/3*260</f>
        <v>0</v>
      </c>
      <c r="AE42" s="58">
        <f t="shared" si="47"/>
        <v>0</v>
      </c>
      <c r="AF42" s="19">
        <f>AE42/3</f>
        <v>0</v>
      </c>
      <c r="AG42" s="97">
        <f>AE42/(260)</f>
        <v>0</v>
      </c>
      <c r="AH42" s="97">
        <f>AG42*Rates!D$6</f>
        <v>0</v>
      </c>
      <c r="AI42" s="97">
        <f t="shared" si="48"/>
        <v>0</v>
      </c>
      <c r="AJ42" s="4">
        <f t="shared" si="49"/>
        <v>0</v>
      </c>
      <c r="AK42" s="4">
        <f t="shared" si="50"/>
        <v>0</v>
      </c>
      <c r="AL42" s="4">
        <f t="shared" si="51"/>
        <v>0</v>
      </c>
      <c r="AM42" s="4">
        <f>AI42*(1+Rates!D$13)</f>
        <v>0</v>
      </c>
      <c r="AN42" s="4">
        <f t="shared" si="52"/>
        <v>0</v>
      </c>
      <c r="AO42" s="18"/>
      <c r="AP42" s="12">
        <f>'Monthly Budget'!AA48</f>
        <v>0</v>
      </c>
      <c r="AQ42" s="41">
        <f>AP42/3*260</f>
        <v>0</v>
      </c>
      <c r="AR42" s="58">
        <f t="shared" si="53"/>
        <v>0</v>
      </c>
      <c r="AS42" s="19">
        <f>AR42/3</f>
        <v>0</v>
      </c>
      <c r="AT42" s="97">
        <f>AR42/(260)</f>
        <v>0</v>
      </c>
      <c r="AU42" s="97">
        <f>AT42*Rates!E$6</f>
        <v>0</v>
      </c>
      <c r="AV42" s="97">
        <f t="shared" si="54"/>
        <v>0</v>
      </c>
      <c r="AW42" s="4">
        <f t="shared" si="55"/>
        <v>0</v>
      </c>
      <c r="AX42" s="4">
        <f t="shared" si="56"/>
        <v>0</v>
      </c>
      <c r="AY42" s="4">
        <f t="shared" si="57"/>
        <v>0</v>
      </c>
      <c r="AZ42" s="4">
        <f>AV42*(1+Rates!E$13)</f>
        <v>0</v>
      </c>
      <c r="BA42" s="4">
        <f t="shared" si="58"/>
        <v>0</v>
      </c>
      <c r="BB42" s="18"/>
      <c r="BC42" s="12">
        <f>'Monthly Budget'!AI48</f>
        <v>0</v>
      </c>
      <c r="BD42" s="41">
        <f>BC42/3*260</f>
        <v>0</v>
      </c>
      <c r="BE42" s="58">
        <f t="shared" si="59"/>
        <v>0</v>
      </c>
      <c r="BF42" s="19">
        <f>BE42/3</f>
        <v>0</v>
      </c>
      <c r="BG42" s="97">
        <f>BE42/(260)</f>
        <v>0</v>
      </c>
      <c r="BH42" s="97">
        <f>BG42*Rates!F$6</f>
        <v>0</v>
      </c>
      <c r="BI42" s="97">
        <f t="shared" si="60"/>
        <v>0</v>
      </c>
      <c r="BJ42" s="4">
        <f t="shared" si="61"/>
        <v>0</v>
      </c>
      <c r="BK42" s="4">
        <f t="shared" si="62"/>
        <v>0</v>
      </c>
      <c r="BL42" s="4">
        <f t="shared" si="63"/>
        <v>0</v>
      </c>
      <c r="BM42" s="4">
        <f>BI42*(1+Rates!F$13)</f>
        <v>0</v>
      </c>
      <c r="BN42" s="4">
        <f t="shared" si="64"/>
        <v>0</v>
      </c>
      <c r="BO42" s="18"/>
      <c r="BP42" s="42">
        <f t="shared" si="65"/>
        <v>0</v>
      </c>
      <c r="BR42" s="4"/>
      <c r="BS42" s="7"/>
    </row>
    <row r="43" spans="1:71" ht="15" customHeight="1" thickBot="1" x14ac:dyDescent="0.75">
      <c r="A43" s="210" t="str">
        <f>'Monthly Budget'!A49</f>
        <v>Name (Summer)</v>
      </c>
      <c r="B43" s="210"/>
      <c r="C43" s="12">
        <f>'Monthly Budget'!C49</f>
        <v>0</v>
      </c>
      <c r="D43" s="41">
        <f>C43/3*260</f>
        <v>0</v>
      </c>
      <c r="E43" s="81">
        <f>'Monthly Budget'!E49</f>
        <v>0</v>
      </c>
      <c r="F43" s="4">
        <f>E43/3</f>
        <v>0</v>
      </c>
      <c r="G43" s="97">
        <f>E43/(260)</f>
        <v>0</v>
      </c>
      <c r="H43" s="97">
        <f>G43*Rates!B$6</f>
        <v>0</v>
      </c>
      <c r="I43" s="97">
        <f t="shared" si="36"/>
        <v>0</v>
      </c>
      <c r="J43" s="4">
        <f t="shared" si="37"/>
        <v>0</v>
      </c>
      <c r="K43" s="4">
        <f t="shared" si="38"/>
        <v>0</v>
      </c>
      <c r="L43" s="4">
        <f t="shared" si="39"/>
        <v>0</v>
      </c>
      <c r="M43" s="4">
        <f>I43*(1+Rates!B$13)</f>
        <v>0</v>
      </c>
      <c r="N43" s="4">
        <f t="shared" si="40"/>
        <v>0</v>
      </c>
      <c r="O43" s="18"/>
      <c r="P43" s="12">
        <f>'Monthly Budget'!K49</f>
        <v>0</v>
      </c>
      <c r="Q43" s="41">
        <f>P43/3*260</f>
        <v>0</v>
      </c>
      <c r="R43" s="58">
        <f t="shared" si="41"/>
        <v>0</v>
      </c>
      <c r="S43" s="19">
        <f>R43/3</f>
        <v>0</v>
      </c>
      <c r="T43" s="97">
        <f>R43/(260)</f>
        <v>0</v>
      </c>
      <c r="U43" s="97">
        <f>T43*Rates!C$6</f>
        <v>0</v>
      </c>
      <c r="V43" s="97">
        <f t="shared" si="42"/>
        <v>0</v>
      </c>
      <c r="W43" s="4">
        <f t="shared" si="43"/>
        <v>0</v>
      </c>
      <c r="X43" s="4">
        <f t="shared" si="44"/>
        <v>0</v>
      </c>
      <c r="Y43" s="4">
        <f t="shared" si="45"/>
        <v>0</v>
      </c>
      <c r="Z43" s="4">
        <f>V43*(1+Rates!C$13)</f>
        <v>0</v>
      </c>
      <c r="AA43" s="4">
        <f t="shared" si="46"/>
        <v>0</v>
      </c>
      <c r="AB43" s="18"/>
      <c r="AC43" s="12">
        <f>'Monthly Budget'!S49</f>
        <v>0</v>
      </c>
      <c r="AD43" s="41">
        <f>AC43/3*260</f>
        <v>0</v>
      </c>
      <c r="AE43" s="58">
        <f t="shared" si="47"/>
        <v>0</v>
      </c>
      <c r="AF43" s="19">
        <f>AE43/3</f>
        <v>0</v>
      </c>
      <c r="AG43" s="97">
        <f>AE43/(260)</f>
        <v>0</v>
      </c>
      <c r="AH43" s="97">
        <f>AG43*Rates!D$6</f>
        <v>0</v>
      </c>
      <c r="AI43" s="97">
        <f t="shared" si="48"/>
        <v>0</v>
      </c>
      <c r="AJ43" s="4">
        <f t="shared" si="49"/>
        <v>0</v>
      </c>
      <c r="AK43" s="4">
        <f t="shared" si="50"/>
        <v>0</v>
      </c>
      <c r="AL43" s="4">
        <f t="shared" si="51"/>
        <v>0</v>
      </c>
      <c r="AM43" s="4">
        <f>AI43*(1+Rates!D$13)</f>
        <v>0</v>
      </c>
      <c r="AN43" s="4">
        <f t="shared" si="52"/>
        <v>0</v>
      </c>
      <c r="AO43" s="18"/>
      <c r="AP43" s="12">
        <f>'Monthly Budget'!AA49</f>
        <v>0</v>
      </c>
      <c r="AQ43" s="41">
        <f>AP43/3*260</f>
        <v>0</v>
      </c>
      <c r="AR43" s="58">
        <f t="shared" si="53"/>
        <v>0</v>
      </c>
      <c r="AS43" s="19">
        <f>AR43/3</f>
        <v>0</v>
      </c>
      <c r="AT43" s="97">
        <f>AR43/(260)</f>
        <v>0</v>
      </c>
      <c r="AU43" s="97">
        <f>AT43*Rates!E$6</f>
        <v>0</v>
      </c>
      <c r="AV43" s="97">
        <f t="shared" si="54"/>
        <v>0</v>
      </c>
      <c r="AW43" s="4">
        <f t="shared" si="55"/>
        <v>0</v>
      </c>
      <c r="AX43" s="4">
        <f t="shared" si="56"/>
        <v>0</v>
      </c>
      <c r="AY43" s="4">
        <f t="shared" si="57"/>
        <v>0</v>
      </c>
      <c r="AZ43" s="4">
        <f>AV43*(1+Rates!E$13)</f>
        <v>0</v>
      </c>
      <c r="BA43" s="4">
        <f t="shared" si="58"/>
        <v>0</v>
      </c>
      <c r="BB43" s="18"/>
      <c r="BC43" s="12">
        <f>'Monthly Budget'!AI49</f>
        <v>0</v>
      </c>
      <c r="BD43" s="41">
        <f>BC43/3*260</f>
        <v>0</v>
      </c>
      <c r="BE43" s="58">
        <f t="shared" si="59"/>
        <v>0</v>
      </c>
      <c r="BF43" s="19">
        <f>BE43/3</f>
        <v>0</v>
      </c>
      <c r="BG43" s="97">
        <f>BE43/(260)</f>
        <v>0</v>
      </c>
      <c r="BH43" s="97">
        <f>BG43*Rates!F$6</f>
        <v>0</v>
      </c>
      <c r="BI43" s="97">
        <f t="shared" si="60"/>
        <v>0</v>
      </c>
      <c r="BJ43" s="4">
        <f t="shared" si="61"/>
        <v>0</v>
      </c>
      <c r="BK43" s="4">
        <f t="shared" si="62"/>
        <v>0</v>
      </c>
      <c r="BL43" s="4">
        <f t="shared" si="63"/>
        <v>0</v>
      </c>
      <c r="BM43" s="4">
        <f>BI43*(1+Rates!F$13)</f>
        <v>0</v>
      </c>
      <c r="BN43" s="4">
        <f t="shared" si="64"/>
        <v>0</v>
      </c>
      <c r="BO43" s="18"/>
      <c r="BP43" s="42">
        <f t="shared" si="65"/>
        <v>0</v>
      </c>
      <c r="BR43" s="4"/>
      <c r="BS43" s="7"/>
    </row>
    <row r="44" spans="1:71" ht="15" customHeight="1" thickTop="1" x14ac:dyDescent="0.6">
      <c r="A44" s="211" t="s">
        <v>2</v>
      </c>
      <c r="B44" s="212"/>
      <c r="C44" s="62"/>
      <c r="D44" s="62"/>
      <c r="E44" s="82"/>
      <c r="F44" s="63"/>
      <c r="G44" s="98"/>
      <c r="H44" s="98"/>
      <c r="I44" s="98"/>
      <c r="J44" s="63"/>
      <c r="K44" s="63"/>
      <c r="L44" s="63"/>
      <c r="M44" s="63"/>
      <c r="N44" s="63">
        <f>SUM(N35:N43)</f>
        <v>0</v>
      </c>
      <c r="O44" s="64"/>
      <c r="P44" s="62"/>
      <c r="Q44" s="62"/>
      <c r="R44" s="82"/>
      <c r="S44" s="67"/>
      <c r="T44" s="98"/>
      <c r="U44" s="98"/>
      <c r="V44" s="98"/>
      <c r="W44" s="63"/>
      <c r="X44" s="63"/>
      <c r="Y44" s="63"/>
      <c r="Z44" s="63"/>
      <c r="AA44" s="63">
        <f>SUM(AA35:AA43)</f>
        <v>0</v>
      </c>
      <c r="AB44" s="64"/>
      <c r="AC44" s="62"/>
      <c r="AD44" s="62"/>
      <c r="AE44" s="82"/>
      <c r="AF44" s="67"/>
      <c r="AG44" s="98"/>
      <c r="AH44" s="98"/>
      <c r="AI44" s="98"/>
      <c r="AJ44" s="63"/>
      <c r="AK44" s="63"/>
      <c r="AL44" s="63"/>
      <c r="AM44" s="63"/>
      <c r="AN44" s="63">
        <f>SUM(AN35:AN43)</f>
        <v>0</v>
      </c>
      <c r="AO44" s="64"/>
      <c r="AP44" s="62"/>
      <c r="AQ44" s="62"/>
      <c r="AR44" s="82"/>
      <c r="AS44" s="67"/>
      <c r="AT44" s="98"/>
      <c r="AU44" s="98"/>
      <c r="AV44" s="98"/>
      <c r="AW44" s="63"/>
      <c r="AX44" s="63"/>
      <c r="AY44" s="63"/>
      <c r="AZ44" s="63"/>
      <c r="BA44" s="63">
        <f>SUM(BA35:BA43)</f>
        <v>0</v>
      </c>
      <c r="BB44" s="64"/>
      <c r="BC44" s="62"/>
      <c r="BD44" s="62"/>
      <c r="BE44" s="82"/>
      <c r="BF44" s="67"/>
      <c r="BG44" s="98"/>
      <c r="BH44" s="98"/>
      <c r="BI44" s="98"/>
      <c r="BJ44" s="63"/>
      <c r="BK44" s="63"/>
      <c r="BL44" s="63"/>
      <c r="BM44" s="63"/>
      <c r="BN44" s="63">
        <f>SUM(BN35:BN43)</f>
        <v>0</v>
      </c>
      <c r="BO44" s="64"/>
      <c r="BP44" s="66">
        <f>N44+AA44+AN44+BA44+BN44</f>
        <v>0</v>
      </c>
      <c r="BR44" s="4"/>
      <c r="BS44" s="7"/>
    </row>
    <row r="45" spans="1:71" ht="15" customHeight="1" x14ac:dyDescent="0.6">
      <c r="A45" s="216"/>
      <c r="B45" s="210"/>
      <c r="C45" s="43"/>
      <c r="D45" s="43"/>
      <c r="E45" s="58"/>
      <c r="O45" s="18"/>
      <c r="P45" s="43"/>
      <c r="Q45" s="43"/>
      <c r="AB45" s="18"/>
      <c r="AC45" s="43"/>
      <c r="AD45" s="43"/>
      <c r="AO45" s="18"/>
      <c r="AP45" s="43"/>
      <c r="AQ45" s="43"/>
      <c r="BB45" s="18"/>
      <c r="BC45" s="43"/>
      <c r="BD45" s="43"/>
      <c r="BO45" s="18"/>
      <c r="BP45" s="42"/>
      <c r="BR45" s="4"/>
      <c r="BS45" s="7"/>
    </row>
    <row r="46" spans="1:71" ht="15" customHeight="1" x14ac:dyDescent="0.7">
      <c r="A46" s="222" t="s">
        <v>35</v>
      </c>
      <c r="B46" s="223"/>
      <c r="C46" s="43"/>
      <c r="D46" s="43"/>
      <c r="E46" s="58"/>
      <c r="O46" s="18"/>
      <c r="P46" s="43"/>
      <c r="Q46" s="43"/>
      <c r="AB46" s="18"/>
      <c r="AC46" s="43"/>
      <c r="AD46" s="43"/>
      <c r="AO46" s="18"/>
      <c r="AP46" s="43"/>
      <c r="AQ46" s="43"/>
      <c r="BB46" s="18"/>
      <c r="BC46" s="43"/>
      <c r="BD46" s="43"/>
      <c r="BO46" s="18"/>
      <c r="BP46" s="42"/>
      <c r="BR46" s="4"/>
    </row>
    <row r="47" spans="1:71" ht="15" customHeight="1" x14ac:dyDescent="0.6">
      <c r="A47" s="209" t="str">
        <f>'Monthly Budget'!A55:B55</f>
        <v>TBN Undergraduate *Hourly</v>
      </c>
      <c r="B47" s="210"/>
      <c r="C47" s="12">
        <f>'Monthly Budget'!C55</f>
        <v>0</v>
      </c>
      <c r="D47" s="41">
        <f>C47/12*1040</f>
        <v>0</v>
      </c>
      <c r="E47" s="81">
        <f>'Monthly Budget'!E55</f>
        <v>0</v>
      </c>
      <c r="F47" s="4">
        <f>E47/12</f>
        <v>0</v>
      </c>
      <c r="G47" s="97">
        <f>E47/(1040)</f>
        <v>0</v>
      </c>
      <c r="H47" s="97">
        <f>G47*Rates!B$7</f>
        <v>0</v>
      </c>
      <c r="I47" s="97">
        <f>G47+H47</f>
        <v>0</v>
      </c>
      <c r="J47" s="4">
        <f>ROUND(D47*G47, 0)</f>
        <v>0</v>
      </c>
      <c r="K47" s="4">
        <f>D47*H47</f>
        <v>0</v>
      </c>
      <c r="L47" s="4">
        <f>J47+K47</f>
        <v>0</v>
      </c>
      <c r="M47" s="4">
        <f>I47*(1+Rates!B$13)</f>
        <v>0</v>
      </c>
      <c r="N47" s="4">
        <f>D47*M47</f>
        <v>0</v>
      </c>
      <c r="O47" s="18"/>
      <c r="P47" s="12">
        <f>'Monthly Budget'!K55</f>
        <v>0</v>
      </c>
      <c r="Q47" s="41">
        <f>P47/12*1040</f>
        <v>0</v>
      </c>
      <c r="R47" s="58">
        <f>E47*1.02</f>
        <v>0</v>
      </c>
      <c r="S47" s="19">
        <f>R47/12</f>
        <v>0</v>
      </c>
      <c r="T47" s="97">
        <f>R47/(1040)</f>
        <v>0</v>
      </c>
      <c r="U47" s="97">
        <f>T47*Rates!C$7</f>
        <v>0</v>
      </c>
      <c r="V47" s="97">
        <f>T47+U47</f>
        <v>0</v>
      </c>
      <c r="W47" s="4">
        <f>ROUND(Q47*T47, 0)</f>
        <v>0</v>
      </c>
      <c r="X47" s="4">
        <f>ROUND(Q47*U47, 0)</f>
        <v>0</v>
      </c>
      <c r="Y47" s="4">
        <f>W47+X47</f>
        <v>0</v>
      </c>
      <c r="Z47" s="4">
        <f>V47*(1+Rates!C$13)</f>
        <v>0</v>
      </c>
      <c r="AA47" s="4">
        <f>Q47*Z47</f>
        <v>0</v>
      </c>
      <c r="AB47" s="18"/>
      <c r="AC47" s="12">
        <f>'Monthly Budget'!S55</f>
        <v>0</v>
      </c>
      <c r="AD47" s="41">
        <f>AC47/12*1040</f>
        <v>0</v>
      </c>
      <c r="AE47" s="58">
        <f>R47*1.02</f>
        <v>0</v>
      </c>
      <c r="AF47" s="19">
        <f>AE47/12</f>
        <v>0</v>
      </c>
      <c r="AG47" s="97">
        <f>AE47/(1040)</f>
        <v>0</v>
      </c>
      <c r="AH47" s="97">
        <f>AG47*Rates!D$7</f>
        <v>0</v>
      </c>
      <c r="AI47" s="97">
        <f>AG47+AH47</f>
        <v>0</v>
      </c>
      <c r="AJ47" s="4">
        <f>ROUND(AD47*AG47, 0)</f>
        <v>0</v>
      </c>
      <c r="AK47" s="4">
        <f>ROUND(AD47*AH47, 0)</f>
        <v>0</v>
      </c>
      <c r="AL47" s="4">
        <f>AJ47+AK47</f>
        <v>0</v>
      </c>
      <c r="AM47" s="4">
        <f>AI47*(1+Rates!D$13)</f>
        <v>0</v>
      </c>
      <c r="AN47" s="4">
        <f>AD47*AM47</f>
        <v>0</v>
      </c>
      <c r="AO47" s="18"/>
      <c r="AP47" s="12">
        <f>'Monthly Budget'!AA55</f>
        <v>0</v>
      </c>
      <c r="AQ47" s="41">
        <f>AP47/12*1040</f>
        <v>0</v>
      </c>
      <c r="AR47" s="58">
        <f>AE47*1.02</f>
        <v>0</v>
      </c>
      <c r="AS47" s="19">
        <f>AR47/12</f>
        <v>0</v>
      </c>
      <c r="AT47" s="97">
        <f>AR47/(1040)</f>
        <v>0</v>
      </c>
      <c r="AU47" s="97">
        <f>AT47*Rates!E$7</f>
        <v>0</v>
      </c>
      <c r="AV47" s="97">
        <f>AT47+AU47</f>
        <v>0</v>
      </c>
      <c r="AW47" s="4">
        <f>ROUND(AQ47*AT47, 0)</f>
        <v>0</v>
      </c>
      <c r="AX47" s="4">
        <f>ROUND(AQ47*AU47, 0)</f>
        <v>0</v>
      </c>
      <c r="AY47" s="4">
        <f>AW47+AX47</f>
        <v>0</v>
      </c>
      <c r="AZ47" s="4">
        <f>AV47*(1+Rates!E$13)</f>
        <v>0</v>
      </c>
      <c r="BA47" s="4">
        <f>AQ47*AZ47</f>
        <v>0</v>
      </c>
      <c r="BB47" s="18"/>
      <c r="BC47" s="12">
        <f>'Monthly Budget'!AI55</f>
        <v>0</v>
      </c>
      <c r="BD47" s="41">
        <f>BC47/12*1040</f>
        <v>0</v>
      </c>
      <c r="BE47" s="58">
        <f>AR47*1.02</f>
        <v>0</v>
      </c>
      <c r="BF47" s="19">
        <f>BE47/12</f>
        <v>0</v>
      </c>
      <c r="BG47" s="97">
        <f>BE47/(1040)</f>
        <v>0</v>
      </c>
      <c r="BH47" s="97">
        <f>BG47*Rates!F$7</f>
        <v>0</v>
      </c>
      <c r="BI47" s="97">
        <f>BG47+BH47</f>
        <v>0</v>
      </c>
      <c r="BJ47" s="4">
        <f>ROUND(BD47*BG47, 0)</f>
        <v>0</v>
      </c>
      <c r="BK47" s="4">
        <f>ROUND(BD47*BH47, 0)</f>
        <v>0</v>
      </c>
      <c r="BL47" s="4">
        <f>BJ47+BK47</f>
        <v>0</v>
      </c>
      <c r="BM47" s="4">
        <f>BI47*(1+Rates!F$13)</f>
        <v>0</v>
      </c>
      <c r="BN47" s="4">
        <f>BD47*BM47</f>
        <v>0</v>
      </c>
      <c r="BO47" s="18"/>
      <c r="BP47" s="42">
        <f>N47+AA47+AN47+BA47+BN47</f>
        <v>0</v>
      </c>
      <c r="BR47" s="4"/>
      <c r="BS47" s="7"/>
    </row>
    <row r="48" spans="1:71" ht="15" customHeight="1" x14ac:dyDescent="0.6">
      <c r="A48" s="209" t="str">
        <f>'Monthly Budget'!A56:B56</f>
        <v>Name</v>
      </c>
      <c r="B48" s="210"/>
      <c r="C48" s="12">
        <f>'Monthly Budget'!C56</f>
        <v>0</v>
      </c>
      <c r="D48" s="41">
        <f>C48/12*1040</f>
        <v>0</v>
      </c>
      <c r="E48" s="81">
        <f>'Monthly Budget'!E56</f>
        <v>0</v>
      </c>
      <c r="F48" s="4">
        <f>E48/12</f>
        <v>0</v>
      </c>
      <c r="G48" s="97">
        <f>E48/(1040)</f>
        <v>0</v>
      </c>
      <c r="H48" s="97">
        <f>G48*Rates!B$7</f>
        <v>0</v>
      </c>
      <c r="I48" s="97">
        <f>G48+H48</f>
        <v>0</v>
      </c>
      <c r="J48" s="4">
        <f>ROUND(D48*G48, 0)</f>
        <v>0</v>
      </c>
      <c r="K48" s="4">
        <f>D48*H48</f>
        <v>0</v>
      </c>
      <c r="L48" s="4">
        <f>J48+K48</f>
        <v>0</v>
      </c>
      <c r="M48" s="4">
        <f>I48*(1+Rates!B$13)</f>
        <v>0</v>
      </c>
      <c r="N48" s="4">
        <f>D48*M48</f>
        <v>0</v>
      </c>
      <c r="O48" s="18"/>
      <c r="P48" s="12">
        <f>'Monthly Budget'!K56</f>
        <v>0</v>
      </c>
      <c r="Q48" s="41">
        <f>P48/12*1040</f>
        <v>0</v>
      </c>
      <c r="R48" s="58">
        <f>E48*1.02</f>
        <v>0</v>
      </c>
      <c r="S48" s="19">
        <f>R48/12</f>
        <v>0</v>
      </c>
      <c r="T48" s="97">
        <f>R48/(1040)</f>
        <v>0</v>
      </c>
      <c r="U48" s="97">
        <f>T48*Rates!C$7</f>
        <v>0</v>
      </c>
      <c r="V48" s="97">
        <f>T48+U48</f>
        <v>0</v>
      </c>
      <c r="W48" s="4">
        <f>ROUND(Q48*T48, 0)</f>
        <v>0</v>
      </c>
      <c r="X48" s="4">
        <f>ROUND(Q48*U48, 0)</f>
        <v>0</v>
      </c>
      <c r="Y48" s="4">
        <f>W48+X48</f>
        <v>0</v>
      </c>
      <c r="Z48" s="4">
        <f>V48*(1+Rates!C$13)</f>
        <v>0</v>
      </c>
      <c r="AA48" s="4">
        <f>Q48*Z48</f>
        <v>0</v>
      </c>
      <c r="AB48" s="18"/>
      <c r="AC48" s="12">
        <f>'Monthly Budget'!S56</f>
        <v>0</v>
      </c>
      <c r="AD48" s="41">
        <f>AC48/12*1040</f>
        <v>0</v>
      </c>
      <c r="AE48" s="58">
        <f>R48*1.02</f>
        <v>0</v>
      </c>
      <c r="AF48" s="19">
        <f>AE48/12</f>
        <v>0</v>
      </c>
      <c r="AG48" s="97">
        <f>AE48/(1040)</f>
        <v>0</v>
      </c>
      <c r="AH48" s="97">
        <f>AG48*Rates!D$7</f>
        <v>0</v>
      </c>
      <c r="AI48" s="97">
        <f>AG48+AH48</f>
        <v>0</v>
      </c>
      <c r="AJ48" s="4">
        <f>ROUND(AD48*AG48, 0)</f>
        <v>0</v>
      </c>
      <c r="AK48" s="4">
        <f>ROUND(AD48*AH48, 0)</f>
        <v>0</v>
      </c>
      <c r="AL48" s="4">
        <f>AJ48+AK48</f>
        <v>0</v>
      </c>
      <c r="AM48" s="4">
        <f>AI48*(1+Rates!D$13)</f>
        <v>0</v>
      </c>
      <c r="AN48" s="4">
        <f>AD48*AM48</f>
        <v>0</v>
      </c>
      <c r="AO48" s="18"/>
      <c r="AP48" s="12">
        <f>'Monthly Budget'!AA56</f>
        <v>0</v>
      </c>
      <c r="AQ48" s="41">
        <f>AP48/12*1040</f>
        <v>0</v>
      </c>
      <c r="AR48" s="58">
        <f>AE48*1.02</f>
        <v>0</v>
      </c>
      <c r="AS48" s="19">
        <f>AR48/12</f>
        <v>0</v>
      </c>
      <c r="AT48" s="97">
        <f>AR48/(1040)</f>
        <v>0</v>
      </c>
      <c r="AU48" s="97">
        <f>AT48*Rates!E$7</f>
        <v>0</v>
      </c>
      <c r="AV48" s="97">
        <f>AT48+AU48</f>
        <v>0</v>
      </c>
      <c r="AW48" s="4">
        <f>ROUND(AQ48*AT48, 0)</f>
        <v>0</v>
      </c>
      <c r="AX48" s="4">
        <f>ROUND(AQ48*AU48, 0)</f>
        <v>0</v>
      </c>
      <c r="AY48" s="4">
        <f>AW48+AX48</f>
        <v>0</v>
      </c>
      <c r="AZ48" s="4">
        <f>AV48*(1+Rates!E$13)</f>
        <v>0</v>
      </c>
      <c r="BA48" s="4">
        <f>AQ48*AZ48</f>
        <v>0</v>
      </c>
      <c r="BB48" s="18"/>
      <c r="BC48" s="12">
        <f>'Monthly Budget'!AI56</f>
        <v>0</v>
      </c>
      <c r="BD48" s="41">
        <f>BC48/12*1040</f>
        <v>0</v>
      </c>
      <c r="BE48" s="58">
        <f>AR48*1.02</f>
        <v>0</v>
      </c>
      <c r="BF48" s="19">
        <f>BE48/12</f>
        <v>0</v>
      </c>
      <c r="BG48" s="97">
        <f>BE48/(1040)</f>
        <v>0</v>
      </c>
      <c r="BH48" s="97">
        <f>BG48*Rates!F$7</f>
        <v>0</v>
      </c>
      <c r="BI48" s="97">
        <f>BG48+BH48</f>
        <v>0</v>
      </c>
      <c r="BJ48" s="4">
        <f>ROUND(BD48*BG48, 0)</f>
        <v>0</v>
      </c>
      <c r="BK48" s="4">
        <f>ROUND(BD48*BH48, 0)</f>
        <v>0</v>
      </c>
      <c r="BL48" s="4">
        <f>BJ48+BK48</f>
        <v>0</v>
      </c>
      <c r="BM48" s="4">
        <f>BI48*(1+Rates!F$13)</f>
        <v>0</v>
      </c>
      <c r="BN48" s="4">
        <f>BD48*BM48</f>
        <v>0</v>
      </c>
      <c r="BO48" s="18"/>
      <c r="BP48" s="42">
        <f>N48+AA48+AN48+BA48+BN48</f>
        <v>0</v>
      </c>
      <c r="BR48" s="4"/>
      <c r="BS48" s="7"/>
    </row>
    <row r="49" spans="1:71" ht="15" customHeight="1" thickBot="1" x14ac:dyDescent="0.75">
      <c r="A49" s="245" t="str">
        <f>'Monthly Budget'!A57:B57</f>
        <v>Name</v>
      </c>
      <c r="B49" s="246"/>
      <c r="C49" s="12">
        <f>'Monthly Budget'!C57</f>
        <v>0</v>
      </c>
      <c r="D49" s="41">
        <f>C49/12*1040</f>
        <v>0</v>
      </c>
      <c r="E49" s="81">
        <f>'Monthly Budget'!E57</f>
        <v>0</v>
      </c>
      <c r="F49" s="4">
        <f>E49/12</f>
        <v>0</v>
      </c>
      <c r="G49" s="97">
        <f>E49/(1040)</f>
        <v>0</v>
      </c>
      <c r="H49" s="97">
        <f>G49*Rates!B$7</f>
        <v>0</v>
      </c>
      <c r="I49" s="97">
        <f>G49+H49</f>
        <v>0</v>
      </c>
      <c r="J49" s="4">
        <f>ROUND(D49*G49, 0)</f>
        <v>0</v>
      </c>
      <c r="K49" s="4">
        <f>D49*H49</f>
        <v>0</v>
      </c>
      <c r="L49" s="4">
        <f>J49+K49</f>
        <v>0</v>
      </c>
      <c r="M49" s="4">
        <f>I49*(1+Rates!B$13)</f>
        <v>0</v>
      </c>
      <c r="N49" s="4">
        <f>D49*M49</f>
        <v>0</v>
      </c>
      <c r="O49" s="18"/>
      <c r="P49" s="12">
        <f>'Monthly Budget'!K57</f>
        <v>0</v>
      </c>
      <c r="Q49" s="41">
        <f>P49/12*1040</f>
        <v>0</v>
      </c>
      <c r="R49" s="58">
        <f>E49*1.02</f>
        <v>0</v>
      </c>
      <c r="S49" s="19">
        <f>R49/12</f>
        <v>0</v>
      </c>
      <c r="T49" s="97">
        <f>R49/(1040)</f>
        <v>0</v>
      </c>
      <c r="U49" s="97">
        <f>T49*Rates!C$7</f>
        <v>0</v>
      </c>
      <c r="V49" s="97">
        <f>T49+U49</f>
        <v>0</v>
      </c>
      <c r="W49" s="4">
        <f>ROUND(Q49*T49, 0)</f>
        <v>0</v>
      </c>
      <c r="X49" s="4">
        <f>ROUND(Q49*U49, 0)</f>
        <v>0</v>
      </c>
      <c r="Y49" s="4">
        <f>W49+X49</f>
        <v>0</v>
      </c>
      <c r="Z49" s="4">
        <f>V49*(1+Rates!C$13)</f>
        <v>0</v>
      </c>
      <c r="AA49" s="4">
        <f>Q49*Z49</f>
        <v>0</v>
      </c>
      <c r="AB49" s="18"/>
      <c r="AC49" s="12">
        <f>'Monthly Budget'!S57</f>
        <v>0</v>
      </c>
      <c r="AD49" s="41">
        <f>AC49/12*1040</f>
        <v>0</v>
      </c>
      <c r="AE49" s="58">
        <f>R49*1.02</f>
        <v>0</v>
      </c>
      <c r="AF49" s="19">
        <f>AE49/12</f>
        <v>0</v>
      </c>
      <c r="AG49" s="97">
        <f>AE49/(1040)</f>
        <v>0</v>
      </c>
      <c r="AH49" s="97">
        <f>AG49*Rates!D$7</f>
        <v>0</v>
      </c>
      <c r="AI49" s="97">
        <f>AG49+AH49</f>
        <v>0</v>
      </c>
      <c r="AJ49" s="4">
        <f>ROUND(AD49*AG49, 0)</f>
        <v>0</v>
      </c>
      <c r="AK49" s="4">
        <f>ROUND(AD49*AH49, 0)</f>
        <v>0</v>
      </c>
      <c r="AL49" s="4">
        <f>AJ49+AK49</f>
        <v>0</v>
      </c>
      <c r="AM49" s="4">
        <f>AI49*(1+Rates!D$13)</f>
        <v>0</v>
      </c>
      <c r="AN49" s="4">
        <f>AD49*AM49</f>
        <v>0</v>
      </c>
      <c r="AO49" s="18"/>
      <c r="AP49" s="12">
        <f>'Monthly Budget'!AA57</f>
        <v>0</v>
      </c>
      <c r="AQ49" s="41">
        <f>AP49/12*1040</f>
        <v>0</v>
      </c>
      <c r="AR49" s="58">
        <f>AE49*1.02</f>
        <v>0</v>
      </c>
      <c r="AS49" s="19">
        <f>AR49/12</f>
        <v>0</v>
      </c>
      <c r="AT49" s="97">
        <f>AR49/(1040)</f>
        <v>0</v>
      </c>
      <c r="AU49" s="97">
        <f>AT49*Rates!E$7</f>
        <v>0</v>
      </c>
      <c r="AV49" s="97">
        <f>AT49+AU49</f>
        <v>0</v>
      </c>
      <c r="AW49" s="4">
        <f>ROUND(AQ49*AT49, 0)</f>
        <v>0</v>
      </c>
      <c r="AX49" s="4">
        <f>ROUND(AQ49*AU49, 0)</f>
        <v>0</v>
      </c>
      <c r="AY49" s="4">
        <f>AW49+AX49</f>
        <v>0</v>
      </c>
      <c r="AZ49" s="4">
        <f>AV49*(1+Rates!E$13)</f>
        <v>0</v>
      </c>
      <c r="BA49" s="4">
        <f>AQ49*AZ49</f>
        <v>0</v>
      </c>
      <c r="BB49" s="18"/>
      <c r="BC49" s="12">
        <f>'Monthly Budget'!AI57</f>
        <v>0</v>
      </c>
      <c r="BD49" s="41">
        <f>BC49/12*1040</f>
        <v>0</v>
      </c>
      <c r="BE49" s="58">
        <f>AR49*1.02</f>
        <v>0</v>
      </c>
      <c r="BF49" s="19">
        <f>BE49/12</f>
        <v>0</v>
      </c>
      <c r="BG49" s="97">
        <f>BE49/(1040)</f>
        <v>0</v>
      </c>
      <c r="BH49" s="97">
        <f>BG49*Rates!F$7</f>
        <v>0</v>
      </c>
      <c r="BI49" s="97">
        <f>BG49+BH49</f>
        <v>0</v>
      </c>
      <c r="BJ49" s="4">
        <f>ROUND(BD49*BG49, 0)</f>
        <v>0</v>
      </c>
      <c r="BK49" s="4">
        <f>ROUND(BD49*BH49, 0)</f>
        <v>0</v>
      </c>
      <c r="BL49" s="4">
        <f>BJ49+BK49</f>
        <v>0</v>
      </c>
      <c r="BM49" s="4">
        <f>BI49*(1+Rates!F$13)</f>
        <v>0</v>
      </c>
      <c r="BN49" s="4">
        <f>BD49*BM49</f>
        <v>0</v>
      </c>
      <c r="BO49" s="18"/>
      <c r="BP49" s="42">
        <f>N49+AA49+AN49+BA49+BN49</f>
        <v>0</v>
      </c>
      <c r="BR49" s="4"/>
      <c r="BS49" s="7"/>
    </row>
    <row r="50" spans="1:71" ht="15" customHeight="1" thickTop="1" x14ac:dyDescent="0.6">
      <c r="A50" s="211" t="s">
        <v>2</v>
      </c>
      <c r="B50" s="212"/>
      <c r="C50" s="62"/>
      <c r="D50" s="62"/>
      <c r="E50" s="82"/>
      <c r="F50" s="63"/>
      <c r="G50" s="98"/>
      <c r="H50" s="98"/>
      <c r="I50" s="98"/>
      <c r="J50" s="63"/>
      <c r="K50" s="63"/>
      <c r="L50" s="63"/>
      <c r="M50" s="63"/>
      <c r="N50" s="63">
        <f>SUM(N47:N49)</f>
        <v>0</v>
      </c>
      <c r="O50" s="64"/>
      <c r="P50" s="62"/>
      <c r="Q50" s="62"/>
      <c r="R50" s="82"/>
      <c r="S50" s="67"/>
      <c r="T50" s="98"/>
      <c r="U50" s="98"/>
      <c r="V50" s="98"/>
      <c r="W50" s="63"/>
      <c r="X50" s="63"/>
      <c r="Y50" s="63"/>
      <c r="Z50" s="63"/>
      <c r="AA50" s="63">
        <f>SUM(AA47:AA49)</f>
        <v>0</v>
      </c>
      <c r="AB50" s="64"/>
      <c r="AC50" s="62"/>
      <c r="AD50" s="62"/>
      <c r="AE50" s="82"/>
      <c r="AF50" s="67"/>
      <c r="AG50" s="98"/>
      <c r="AH50" s="98"/>
      <c r="AI50" s="98"/>
      <c r="AJ50" s="63"/>
      <c r="AK50" s="63"/>
      <c r="AL50" s="63"/>
      <c r="AM50" s="63"/>
      <c r="AN50" s="63">
        <f>SUM(AN47:AN49)</f>
        <v>0</v>
      </c>
      <c r="AO50" s="64"/>
      <c r="AP50" s="62"/>
      <c r="AQ50" s="62"/>
      <c r="AR50" s="82"/>
      <c r="AS50" s="67"/>
      <c r="AT50" s="98"/>
      <c r="AU50" s="98"/>
      <c r="AV50" s="98"/>
      <c r="AW50" s="63"/>
      <c r="AX50" s="63"/>
      <c r="AY50" s="63"/>
      <c r="AZ50" s="63"/>
      <c r="BA50" s="63">
        <f>SUM(BA47:BA49)</f>
        <v>0</v>
      </c>
      <c r="BB50" s="64"/>
      <c r="BC50" s="62"/>
      <c r="BD50" s="62"/>
      <c r="BE50" s="82"/>
      <c r="BF50" s="67"/>
      <c r="BG50" s="98"/>
      <c r="BH50" s="98"/>
      <c r="BI50" s="98"/>
      <c r="BJ50" s="63"/>
      <c r="BK50" s="63"/>
      <c r="BL50" s="63"/>
      <c r="BM50" s="63"/>
      <c r="BN50" s="63">
        <f>SUM(BN47:BN49)</f>
        <v>0</v>
      </c>
      <c r="BO50" s="64"/>
      <c r="BP50" s="66">
        <f>N50+AA50+AN50+BA50+BN50</f>
        <v>0</v>
      </c>
      <c r="BR50" s="4"/>
      <c r="BS50" s="7"/>
    </row>
    <row r="51" spans="1:71" ht="15" customHeight="1" x14ac:dyDescent="0.6">
      <c r="A51" s="216"/>
      <c r="B51" s="210"/>
      <c r="C51" s="43"/>
      <c r="D51" s="43"/>
      <c r="E51" s="58"/>
      <c r="O51" s="18"/>
      <c r="Q51" s="43"/>
      <c r="AB51" s="18"/>
      <c r="AD51" s="43"/>
      <c r="AO51" s="18"/>
      <c r="AQ51" s="43"/>
      <c r="BB51" s="18"/>
      <c r="BD51" s="43"/>
      <c r="BO51" s="18"/>
      <c r="BP51" s="42"/>
      <c r="BR51" s="4"/>
      <c r="BS51" s="7"/>
    </row>
    <row r="52" spans="1:71" ht="15" customHeight="1" x14ac:dyDescent="0.7">
      <c r="A52" s="163" t="s">
        <v>57</v>
      </c>
      <c r="B52" s="165"/>
      <c r="C52" s="43"/>
      <c r="D52" s="43"/>
      <c r="E52" s="58"/>
      <c r="O52" s="18"/>
      <c r="Q52" s="43"/>
      <c r="AB52" s="18"/>
      <c r="AD52" s="43"/>
      <c r="AO52" s="18"/>
      <c r="AQ52" s="43"/>
      <c r="BB52" s="18"/>
      <c r="BD52" s="43"/>
      <c r="BO52" s="18"/>
      <c r="BP52" s="42"/>
      <c r="BR52" s="4"/>
    </row>
    <row r="53" spans="1:71" ht="15" customHeight="1" x14ac:dyDescent="0.6">
      <c r="A53" s="164" t="str">
        <f>'Monthly Budget'!A63</f>
        <v>Name</v>
      </c>
      <c r="B53" s="165"/>
      <c r="C53" s="12">
        <f>'Monthly Budget'!C63</f>
        <v>0</v>
      </c>
      <c r="D53" s="12">
        <f>C53/12*1950</f>
        <v>0</v>
      </c>
      <c r="E53" s="58">
        <f>'Monthly Budget'!E63</f>
        <v>0</v>
      </c>
      <c r="F53" s="4">
        <f>E53/12</f>
        <v>0</v>
      </c>
      <c r="G53" s="93">
        <f>E53/(1950)</f>
        <v>0</v>
      </c>
      <c r="H53" s="93">
        <f>G53*Rates!B$8</f>
        <v>0</v>
      </c>
      <c r="I53" s="93">
        <f>G53+H53</f>
        <v>0</v>
      </c>
      <c r="J53" s="4">
        <f>ROUND(D53*G53, 0)</f>
        <v>0</v>
      </c>
      <c r="K53" s="4">
        <f>D53*H53</f>
        <v>0</v>
      </c>
      <c r="L53" s="4">
        <f>J53+K53</f>
        <v>0</v>
      </c>
      <c r="M53" s="4">
        <f>I53*(1+Rates!B$13)</f>
        <v>0</v>
      </c>
      <c r="N53" s="4">
        <f>D53*M53</f>
        <v>0</v>
      </c>
      <c r="O53" s="18"/>
      <c r="P53" s="12">
        <f>'Monthly Budget'!K63</f>
        <v>0</v>
      </c>
      <c r="Q53" s="12">
        <f>P53/12*1950</f>
        <v>0</v>
      </c>
      <c r="R53" s="58">
        <f>'Monthly Budget'!M63</f>
        <v>0</v>
      </c>
      <c r="S53" s="4">
        <f>R53/12</f>
        <v>0</v>
      </c>
      <c r="T53" s="93">
        <f>R53/(1950)</f>
        <v>0</v>
      </c>
      <c r="U53" s="93">
        <f>T53*Rates!C$8</f>
        <v>0</v>
      </c>
      <c r="V53" s="93">
        <f>T53+U53</f>
        <v>0</v>
      </c>
      <c r="W53" s="4">
        <f>ROUND(Q53*T53, 0)</f>
        <v>0</v>
      </c>
      <c r="X53" s="4">
        <f>Q53*U53</f>
        <v>0</v>
      </c>
      <c r="Y53" s="4">
        <f>W53+X53</f>
        <v>0</v>
      </c>
      <c r="Z53" s="4">
        <f>V53*(1+Rates!C$13)</f>
        <v>0</v>
      </c>
      <c r="AA53" s="4">
        <f>Q53*Z53</f>
        <v>0</v>
      </c>
      <c r="AB53" s="18"/>
      <c r="AC53" s="12">
        <f>'Monthly Budget'!S63</f>
        <v>0</v>
      </c>
      <c r="AD53" s="12">
        <f>AC53/12*1950</f>
        <v>0</v>
      </c>
      <c r="AE53" s="58">
        <f>'Monthly Budget'!U63</f>
        <v>0</v>
      </c>
      <c r="AF53" s="4">
        <f>AE53/12</f>
        <v>0</v>
      </c>
      <c r="AG53" s="93">
        <f>AE53/(1950)</f>
        <v>0</v>
      </c>
      <c r="AH53" s="93">
        <f>AG53*Rates!D$8</f>
        <v>0</v>
      </c>
      <c r="AI53" s="93">
        <f>AG53+AH53</f>
        <v>0</v>
      </c>
      <c r="AJ53" s="4">
        <f>ROUND(AD53*AG53, 0)</f>
        <v>0</v>
      </c>
      <c r="AK53" s="4">
        <f>AD53*AH53</f>
        <v>0</v>
      </c>
      <c r="AL53" s="4">
        <f>AJ53+AK53</f>
        <v>0</v>
      </c>
      <c r="AM53" s="4">
        <f>AI53*(1+Rates!D$13)</f>
        <v>0</v>
      </c>
      <c r="AN53" s="4">
        <f>AD53*AM53</f>
        <v>0</v>
      </c>
      <c r="AO53" s="18"/>
      <c r="AP53" s="12">
        <f>'Monthly Budget'!AA63</f>
        <v>0</v>
      </c>
      <c r="AQ53" s="12">
        <f>AP53/12*1950</f>
        <v>0</v>
      </c>
      <c r="AR53" s="58">
        <f>'Monthly Budget'!AC63</f>
        <v>0</v>
      </c>
      <c r="AS53" s="4">
        <f>AR53/12</f>
        <v>0</v>
      </c>
      <c r="AT53" s="93">
        <f>AR53/(1950)</f>
        <v>0</v>
      </c>
      <c r="AU53" s="93">
        <f>AT53*Rates!E$8</f>
        <v>0</v>
      </c>
      <c r="AV53" s="93">
        <f>AT53+AU53</f>
        <v>0</v>
      </c>
      <c r="AW53" s="4">
        <f>ROUND(AQ53*AT53, 0)</f>
        <v>0</v>
      </c>
      <c r="AX53" s="4">
        <f>AQ53*AU53</f>
        <v>0</v>
      </c>
      <c r="AY53" s="4">
        <f>AW53+AX53</f>
        <v>0</v>
      </c>
      <c r="AZ53" s="4">
        <f>AV53*(1+Rates!E$13)</f>
        <v>0</v>
      </c>
      <c r="BA53" s="4">
        <f>AQ53*AZ53</f>
        <v>0</v>
      </c>
      <c r="BB53" s="18"/>
      <c r="BC53" s="12">
        <f>'Monthly Budget'!AI63</f>
        <v>0</v>
      </c>
      <c r="BD53" s="12">
        <f>BC53/12*1950</f>
        <v>0</v>
      </c>
      <c r="BE53" s="58">
        <f>'Monthly Budget'!AK63</f>
        <v>0</v>
      </c>
      <c r="BF53" s="4">
        <f>BE53/12</f>
        <v>0</v>
      </c>
      <c r="BG53" s="93">
        <f>BE53/(1950)</f>
        <v>0</v>
      </c>
      <c r="BH53" s="93">
        <f>BG53*Rates!F$8</f>
        <v>0</v>
      </c>
      <c r="BI53" s="93">
        <f>BG53+BH53</f>
        <v>0</v>
      </c>
      <c r="BJ53" s="4">
        <f>ROUND(BD53*BG53, 0)</f>
        <v>0</v>
      </c>
      <c r="BK53" s="4">
        <f>BD53*BH53</f>
        <v>0</v>
      </c>
      <c r="BL53" s="4">
        <f>BJ53+BK53</f>
        <v>0</v>
      </c>
      <c r="BM53" s="4">
        <f>BI53*(1+Rates!F$13)</f>
        <v>0</v>
      </c>
      <c r="BN53" s="4">
        <f>BD53*BM53</f>
        <v>0</v>
      </c>
      <c r="BO53" s="18"/>
      <c r="BP53" s="42">
        <f>N53+AA53+AN53+BA53+BN53</f>
        <v>0</v>
      </c>
      <c r="BR53" s="4"/>
    </row>
    <row r="54" spans="1:71" ht="15" customHeight="1" x14ac:dyDescent="0.6">
      <c r="A54" s="164" t="str">
        <f>'Monthly Budget'!A64</f>
        <v>Name</v>
      </c>
      <c r="B54" s="165"/>
      <c r="C54" s="12">
        <f>'Monthly Budget'!C64</f>
        <v>0</v>
      </c>
      <c r="D54" s="12">
        <f>C54/12*1950</f>
        <v>0</v>
      </c>
      <c r="E54" s="58">
        <f>'Monthly Budget'!E64</f>
        <v>0</v>
      </c>
      <c r="F54" s="4">
        <f>E54/12</f>
        <v>0</v>
      </c>
      <c r="G54" s="93">
        <f>E54/(1950)</f>
        <v>0</v>
      </c>
      <c r="H54" s="93">
        <f>G54*Rates!B$8</f>
        <v>0</v>
      </c>
      <c r="I54" s="93">
        <f>G54+H54</f>
        <v>0</v>
      </c>
      <c r="J54" s="4">
        <f>ROUND(D54*G54, 0)</f>
        <v>0</v>
      </c>
      <c r="K54" s="4">
        <f>D54*H54</f>
        <v>0</v>
      </c>
      <c r="L54" s="4">
        <f>J54+K54</f>
        <v>0</v>
      </c>
      <c r="M54" s="4">
        <f>I54*(1+Rates!B$13)</f>
        <v>0</v>
      </c>
      <c r="N54" s="4">
        <f>D54*M54</f>
        <v>0</v>
      </c>
      <c r="O54" s="18"/>
      <c r="P54" s="12">
        <f>'Monthly Budget'!K64</f>
        <v>0</v>
      </c>
      <c r="Q54" s="12">
        <f>P54/12*1950</f>
        <v>0</v>
      </c>
      <c r="R54" s="58">
        <f>'Monthly Budget'!M64</f>
        <v>0</v>
      </c>
      <c r="S54" s="4">
        <f>R54/12</f>
        <v>0</v>
      </c>
      <c r="T54" s="93">
        <f>R54/(1950)</f>
        <v>0</v>
      </c>
      <c r="U54" s="93">
        <f>T54*Rates!C$8</f>
        <v>0</v>
      </c>
      <c r="V54" s="93">
        <f>T54+U54</f>
        <v>0</v>
      </c>
      <c r="W54" s="4">
        <f>ROUND(Q54*T54, 0)</f>
        <v>0</v>
      </c>
      <c r="X54" s="4">
        <f>Q54*U54</f>
        <v>0</v>
      </c>
      <c r="Y54" s="4">
        <f>W54+X54</f>
        <v>0</v>
      </c>
      <c r="Z54" s="4">
        <f>V54*(1+Rates!C$13)</f>
        <v>0</v>
      </c>
      <c r="AA54" s="4">
        <f>Q54*Z54</f>
        <v>0</v>
      </c>
      <c r="AB54" s="18"/>
      <c r="AC54" s="12">
        <f>'Monthly Budget'!S64</f>
        <v>0</v>
      </c>
      <c r="AD54" s="12">
        <f>AC54/12*1950</f>
        <v>0</v>
      </c>
      <c r="AE54" s="58">
        <f>'Monthly Budget'!U64</f>
        <v>0</v>
      </c>
      <c r="AF54" s="4">
        <f>AE54/12</f>
        <v>0</v>
      </c>
      <c r="AG54" s="93">
        <f>AE54/(1950)</f>
        <v>0</v>
      </c>
      <c r="AH54" s="93">
        <f>AG54*Rates!D$8</f>
        <v>0</v>
      </c>
      <c r="AI54" s="93">
        <f>AG54+AH54</f>
        <v>0</v>
      </c>
      <c r="AJ54" s="4">
        <f>ROUND(AD54*AG54, 0)</f>
        <v>0</v>
      </c>
      <c r="AK54" s="4">
        <f>AD54*AH54</f>
        <v>0</v>
      </c>
      <c r="AL54" s="4">
        <f>AJ54+AK54</f>
        <v>0</v>
      </c>
      <c r="AM54" s="4">
        <f>AI54*(1+Rates!D$13)</f>
        <v>0</v>
      </c>
      <c r="AN54" s="4">
        <f>AD54*AM54</f>
        <v>0</v>
      </c>
      <c r="AO54" s="18"/>
      <c r="AP54" s="12">
        <f>'Monthly Budget'!AA64</f>
        <v>0</v>
      </c>
      <c r="AQ54" s="12">
        <f>AP54/12*1950</f>
        <v>0</v>
      </c>
      <c r="AR54" s="58">
        <f>'Monthly Budget'!AC64</f>
        <v>0</v>
      </c>
      <c r="AS54" s="4">
        <f>AR54/12</f>
        <v>0</v>
      </c>
      <c r="AT54" s="93">
        <f>AR54/(1950)</f>
        <v>0</v>
      </c>
      <c r="AU54" s="93">
        <f>AT54*Rates!E$8</f>
        <v>0</v>
      </c>
      <c r="AV54" s="93">
        <f>AT54+AU54</f>
        <v>0</v>
      </c>
      <c r="AW54" s="4">
        <f>ROUND(AQ54*AT54, 0)</f>
        <v>0</v>
      </c>
      <c r="AX54" s="4">
        <f>AQ54*AU54</f>
        <v>0</v>
      </c>
      <c r="AY54" s="4">
        <f>AW54+AX54</f>
        <v>0</v>
      </c>
      <c r="AZ54" s="4">
        <f>AV54*(1+Rates!E$13)</f>
        <v>0</v>
      </c>
      <c r="BA54" s="4">
        <f>AQ54*AZ54</f>
        <v>0</v>
      </c>
      <c r="BB54" s="18"/>
      <c r="BC54" s="12">
        <f>'Monthly Budget'!AI64</f>
        <v>0</v>
      </c>
      <c r="BD54" s="12">
        <f>BC54/12*1950</f>
        <v>0</v>
      </c>
      <c r="BE54" s="58">
        <f>'Monthly Budget'!AK64</f>
        <v>0</v>
      </c>
      <c r="BF54" s="4">
        <f>BE54/12</f>
        <v>0</v>
      </c>
      <c r="BG54" s="93">
        <f>BE54/(1950)</f>
        <v>0</v>
      </c>
      <c r="BH54" s="93">
        <f>BG54*Rates!F$8</f>
        <v>0</v>
      </c>
      <c r="BI54" s="93">
        <f>BG54+BH54</f>
        <v>0</v>
      </c>
      <c r="BJ54" s="4">
        <f>ROUND(BD54*BG54, 0)</f>
        <v>0</v>
      </c>
      <c r="BK54" s="4">
        <f>BD54*BH54</f>
        <v>0</v>
      </c>
      <c r="BL54" s="4">
        <f>BJ54+BK54</f>
        <v>0</v>
      </c>
      <c r="BM54" s="4">
        <f>BI54*(1+Rates!F$13)</f>
        <v>0</v>
      </c>
      <c r="BN54" s="4">
        <f>BD54*BM54</f>
        <v>0</v>
      </c>
      <c r="BO54" s="18"/>
      <c r="BP54" s="42">
        <f>N54+AA54+AN54+BA54+BN54</f>
        <v>0</v>
      </c>
      <c r="BR54" s="4"/>
    </row>
    <row r="55" spans="1:71" ht="15" customHeight="1" thickBot="1" x14ac:dyDescent="0.75">
      <c r="A55" s="164" t="str">
        <f>'Monthly Budget'!A65</f>
        <v>Name</v>
      </c>
      <c r="B55" s="165"/>
      <c r="C55" s="12">
        <f>'Monthly Budget'!C65</f>
        <v>0</v>
      </c>
      <c r="D55" s="12">
        <f>C55/12*1950</f>
        <v>0</v>
      </c>
      <c r="E55" s="58">
        <f>'Monthly Budget'!E65</f>
        <v>0</v>
      </c>
      <c r="F55" s="4">
        <f>E55/12</f>
        <v>0</v>
      </c>
      <c r="G55" s="93">
        <f>E55/(1950)</f>
        <v>0</v>
      </c>
      <c r="H55" s="93">
        <f>G55*Rates!B$8</f>
        <v>0</v>
      </c>
      <c r="I55" s="93">
        <f>G55+H55</f>
        <v>0</v>
      </c>
      <c r="J55" s="4">
        <f>ROUND(D55*G55, 0)</f>
        <v>0</v>
      </c>
      <c r="K55" s="4">
        <f>D55*H55</f>
        <v>0</v>
      </c>
      <c r="L55" s="4">
        <f>J55+K55</f>
        <v>0</v>
      </c>
      <c r="M55" s="4">
        <f>I55*(1+Rates!B$13)</f>
        <v>0</v>
      </c>
      <c r="N55" s="4">
        <f>D55*M55</f>
        <v>0</v>
      </c>
      <c r="O55" s="18"/>
      <c r="P55" s="12">
        <f>'Monthly Budget'!K65</f>
        <v>0</v>
      </c>
      <c r="Q55" s="12">
        <f>P55/12*1950</f>
        <v>0</v>
      </c>
      <c r="R55" s="58">
        <f>'Monthly Budget'!M65</f>
        <v>0</v>
      </c>
      <c r="S55" s="4">
        <f>R55/12</f>
        <v>0</v>
      </c>
      <c r="T55" s="93">
        <f>R55/(1950)</f>
        <v>0</v>
      </c>
      <c r="U55" s="93">
        <f>T55*Rates!C$8</f>
        <v>0</v>
      </c>
      <c r="V55" s="93">
        <f>T55+U55</f>
        <v>0</v>
      </c>
      <c r="W55" s="4">
        <f>ROUND(Q55*T55, 0)</f>
        <v>0</v>
      </c>
      <c r="X55" s="4">
        <f>Q55*U55</f>
        <v>0</v>
      </c>
      <c r="Y55" s="4">
        <f>W55+X55</f>
        <v>0</v>
      </c>
      <c r="Z55" s="4">
        <f>V55*(1+Rates!C$13)</f>
        <v>0</v>
      </c>
      <c r="AA55" s="4">
        <f>Q55*Z55</f>
        <v>0</v>
      </c>
      <c r="AB55" s="18"/>
      <c r="AC55" s="12">
        <f>'Monthly Budget'!S65</f>
        <v>0</v>
      </c>
      <c r="AD55" s="12">
        <f>AC55/12*1950</f>
        <v>0</v>
      </c>
      <c r="AE55" s="58">
        <f>'Monthly Budget'!U65</f>
        <v>0</v>
      </c>
      <c r="AF55" s="4">
        <f>AE55/12</f>
        <v>0</v>
      </c>
      <c r="AG55" s="93">
        <f>AE55/(1950)</f>
        <v>0</v>
      </c>
      <c r="AH55" s="93">
        <f>AG55*Rates!D$8</f>
        <v>0</v>
      </c>
      <c r="AI55" s="93">
        <f>AG55+AH55</f>
        <v>0</v>
      </c>
      <c r="AJ55" s="4">
        <f>ROUND(AD55*AG55, 0)</f>
        <v>0</v>
      </c>
      <c r="AK55" s="4">
        <f>AD55*AH55</f>
        <v>0</v>
      </c>
      <c r="AL55" s="4">
        <f>AJ55+AK55</f>
        <v>0</v>
      </c>
      <c r="AM55" s="4">
        <f>AI55*(1+Rates!D$13)</f>
        <v>0</v>
      </c>
      <c r="AN55" s="4">
        <f>AD55*AM55</f>
        <v>0</v>
      </c>
      <c r="AO55" s="18"/>
      <c r="AP55" s="12">
        <f>'Monthly Budget'!AA65</f>
        <v>0</v>
      </c>
      <c r="AQ55" s="12">
        <f>AP55/12*1950</f>
        <v>0</v>
      </c>
      <c r="AR55" s="58">
        <f>'Monthly Budget'!AC65</f>
        <v>0</v>
      </c>
      <c r="AS55" s="4">
        <f>AR55/12</f>
        <v>0</v>
      </c>
      <c r="AT55" s="93">
        <f>AR55/(1950)</f>
        <v>0</v>
      </c>
      <c r="AU55" s="93">
        <f>AT55*Rates!E$8</f>
        <v>0</v>
      </c>
      <c r="AV55" s="93">
        <f>AT55+AU55</f>
        <v>0</v>
      </c>
      <c r="AW55" s="4">
        <f>ROUND(AQ55*AT55, 0)</f>
        <v>0</v>
      </c>
      <c r="AX55" s="4">
        <f>AQ55*AU55</f>
        <v>0</v>
      </c>
      <c r="AY55" s="4">
        <f>AW55+AX55</f>
        <v>0</v>
      </c>
      <c r="AZ55" s="4">
        <f>AV55*(1+Rates!E$13)</f>
        <v>0</v>
      </c>
      <c r="BA55" s="4">
        <f>AQ55*AZ55</f>
        <v>0</v>
      </c>
      <c r="BB55" s="18"/>
      <c r="BC55" s="12">
        <f>'Monthly Budget'!AI65</f>
        <v>0</v>
      </c>
      <c r="BD55" s="12">
        <f>BC55/12*1950</f>
        <v>0</v>
      </c>
      <c r="BE55" s="58">
        <f>'Monthly Budget'!AK65</f>
        <v>0</v>
      </c>
      <c r="BF55" s="4">
        <f>BE55/12</f>
        <v>0</v>
      </c>
      <c r="BG55" s="93">
        <f>BE55/(1950)</f>
        <v>0</v>
      </c>
      <c r="BH55" s="93">
        <f>BG55*Rates!F$8</f>
        <v>0</v>
      </c>
      <c r="BI55" s="93">
        <f>BG55+BH55</f>
        <v>0</v>
      </c>
      <c r="BJ55" s="4">
        <f>ROUND(BD55*BG55, 0)</f>
        <v>0</v>
      </c>
      <c r="BK55" s="4">
        <f>BD55*BH55</f>
        <v>0</v>
      </c>
      <c r="BL55" s="4">
        <f>BJ55+BK55</f>
        <v>0</v>
      </c>
      <c r="BM55" s="4">
        <f>BI55*(1+Rates!F$13)</f>
        <v>0</v>
      </c>
      <c r="BN55" s="4">
        <f>BD55*BM55</f>
        <v>0</v>
      </c>
      <c r="BO55" s="18"/>
      <c r="BP55" s="42">
        <f>N55+AA55+AN55+BA55+BN55</f>
        <v>0</v>
      </c>
      <c r="BR55" s="4"/>
    </row>
    <row r="56" spans="1:71" ht="15" customHeight="1" thickTop="1" x14ac:dyDescent="0.6">
      <c r="A56" s="189" t="s">
        <v>2</v>
      </c>
      <c r="B56" s="188"/>
      <c r="C56" s="62"/>
      <c r="D56" s="62"/>
      <c r="E56" s="82"/>
      <c r="F56" s="63"/>
      <c r="G56" s="98"/>
      <c r="H56" s="98"/>
      <c r="I56" s="98"/>
      <c r="J56" s="63"/>
      <c r="K56" s="63"/>
      <c r="L56" s="63"/>
      <c r="M56" s="63"/>
      <c r="N56" s="63">
        <f>SUM(N53:N55)</f>
        <v>0</v>
      </c>
      <c r="O56" s="64"/>
      <c r="P56" s="65"/>
      <c r="Q56" s="62"/>
      <c r="R56" s="82"/>
      <c r="S56" s="63"/>
      <c r="T56" s="98"/>
      <c r="U56" s="98"/>
      <c r="V56" s="98"/>
      <c r="W56" s="63"/>
      <c r="X56" s="63"/>
      <c r="Y56" s="63"/>
      <c r="Z56" s="63"/>
      <c r="AA56" s="63">
        <f>SUM(AA53:AA55)</f>
        <v>0</v>
      </c>
      <c r="AB56" s="64"/>
      <c r="AC56" s="65"/>
      <c r="AD56" s="62"/>
      <c r="AE56" s="82"/>
      <c r="AF56" s="63"/>
      <c r="AG56" s="98"/>
      <c r="AH56" s="98"/>
      <c r="AI56" s="98"/>
      <c r="AJ56" s="63"/>
      <c r="AK56" s="63"/>
      <c r="AL56" s="63"/>
      <c r="AM56" s="63"/>
      <c r="AN56" s="63">
        <f>SUM(AN53:AN55)</f>
        <v>0</v>
      </c>
      <c r="AO56" s="64"/>
      <c r="AP56" s="65"/>
      <c r="AQ56" s="62"/>
      <c r="AR56" s="82"/>
      <c r="AS56" s="63"/>
      <c r="AT56" s="98"/>
      <c r="AU56" s="98"/>
      <c r="AV56" s="98"/>
      <c r="AW56" s="63"/>
      <c r="AX56" s="63"/>
      <c r="AY56" s="63"/>
      <c r="AZ56" s="63"/>
      <c r="BA56" s="63">
        <f>SUM(BA53:BA55)</f>
        <v>0</v>
      </c>
      <c r="BB56" s="64"/>
      <c r="BC56" s="65"/>
      <c r="BD56" s="62"/>
      <c r="BE56" s="82"/>
      <c r="BF56" s="63"/>
      <c r="BG56" s="98"/>
      <c r="BH56" s="98"/>
      <c r="BI56" s="98"/>
      <c r="BJ56" s="63"/>
      <c r="BK56" s="63"/>
      <c r="BL56" s="63"/>
      <c r="BM56" s="63"/>
      <c r="BN56" s="63">
        <f>SUM(BN53:BN55)</f>
        <v>0</v>
      </c>
      <c r="BO56" s="64"/>
      <c r="BP56" s="66">
        <f>N56+AA56+AN56+BA56+BN56</f>
        <v>0</v>
      </c>
      <c r="BR56" s="4"/>
    </row>
    <row r="57" spans="1:71" ht="15" customHeight="1" x14ac:dyDescent="0.6">
      <c r="A57" s="133"/>
      <c r="B57" s="165"/>
      <c r="C57" s="43"/>
      <c r="D57" s="43"/>
      <c r="E57" s="58"/>
      <c r="O57" s="18"/>
      <c r="Q57" s="43"/>
      <c r="AB57" s="18"/>
      <c r="AD57" s="43"/>
      <c r="AO57" s="18"/>
      <c r="AQ57" s="43"/>
      <c r="BB57" s="18"/>
      <c r="BD57" s="43"/>
      <c r="BO57" s="18"/>
      <c r="BP57" s="42"/>
      <c r="BR57" s="4"/>
    </row>
    <row r="58" spans="1:71" s="1" customFormat="1" ht="15" customHeight="1" thickBot="1" x14ac:dyDescent="0.75">
      <c r="A58" s="220" t="s">
        <v>6</v>
      </c>
      <c r="B58" s="221"/>
      <c r="C58" s="45"/>
      <c r="D58" s="45"/>
      <c r="E58" s="83"/>
      <c r="F58" s="46"/>
      <c r="G58" s="99"/>
      <c r="H58" s="99"/>
      <c r="I58" s="99"/>
      <c r="J58" s="46"/>
      <c r="K58" s="46"/>
      <c r="L58" s="46"/>
      <c r="M58" s="46"/>
      <c r="N58" s="46">
        <f>N18+N26+N32+N44+N50+N56</f>
        <v>60664.72</v>
      </c>
      <c r="O58" s="47"/>
      <c r="P58" s="48"/>
      <c r="Q58" s="45"/>
      <c r="R58" s="89"/>
      <c r="S58" s="46"/>
      <c r="T58" s="99"/>
      <c r="U58" s="99"/>
      <c r="V58" s="99"/>
      <c r="W58" s="46"/>
      <c r="X58" s="46"/>
      <c r="Y58" s="46"/>
      <c r="Z58" s="46"/>
      <c r="AA58" s="46">
        <f>AA18+AA26+AA32+AA44+AA50+AA56</f>
        <v>0</v>
      </c>
      <c r="AB58" s="47"/>
      <c r="AC58" s="48"/>
      <c r="AD58" s="45"/>
      <c r="AE58" s="89"/>
      <c r="AF58" s="46"/>
      <c r="AG58" s="99"/>
      <c r="AH58" s="99"/>
      <c r="AI58" s="99"/>
      <c r="AJ58" s="46"/>
      <c r="AK58" s="46"/>
      <c r="AL58" s="46"/>
      <c r="AM58" s="46"/>
      <c r="AN58" s="46">
        <f>AN18+AN26+AN32+AN44+AN50+AN56</f>
        <v>0</v>
      </c>
      <c r="AO58" s="47"/>
      <c r="AP58" s="48"/>
      <c r="AQ58" s="45"/>
      <c r="AR58" s="89"/>
      <c r="AS58" s="46"/>
      <c r="AT58" s="99"/>
      <c r="AU58" s="99"/>
      <c r="AV58" s="99"/>
      <c r="AW58" s="46"/>
      <c r="AX58" s="46"/>
      <c r="AY58" s="46"/>
      <c r="AZ58" s="46"/>
      <c r="BA58" s="46">
        <f>BA18+BA26+BA32+BA44+BA50+BA56</f>
        <v>0</v>
      </c>
      <c r="BB58" s="47"/>
      <c r="BC58" s="48"/>
      <c r="BD58" s="45"/>
      <c r="BE58" s="89"/>
      <c r="BF58" s="46"/>
      <c r="BG58" s="99"/>
      <c r="BH58" s="99"/>
      <c r="BI58" s="99"/>
      <c r="BJ58" s="46"/>
      <c r="BK58" s="46"/>
      <c r="BL58" s="46"/>
      <c r="BM58" s="46"/>
      <c r="BN58" s="46">
        <f>BN18+BN26+BN32+BN44+BN50+BN56</f>
        <v>0</v>
      </c>
      <c r="BO58" s="49"/>
      <c r="BP58" s="42">
        <f>N58+AA58+AN58+BA58+BN58</f>
        <v>60664.72</v>
      </c>
      <c r="BQ58" s="5"/>
      <c r="BR58" s="4"/>
    </row>
    <row r="59" spans="1:71" ht="15" customHeight="1" x14ac:dyDescent="0.6">
      <c r="A59" s="22"/>
      <c r="B59" s="51"/>
      <c r="C59" s="52"/>
      <c r="D59" s="52"/>
      <c r="E59" s="84"/>
      <c r="F59" s="53"/>
      <c r="G59" s="94"/>
      <c r="H59" s="94"/>
      <c r="I59" s="94"/>
      <c r="J59" s="53"/>
      <c r="K59" s="53"/>
      <c r="L59" s="53"/>
      <c r="M59" s="53"/>
      <c r="N59" s="53"/>
      <c r="O59" s="34"/>
      <c r="P59" s="33"/>
      <c r="Q59" s="52"/>
      <c r="R59" s="90"/>
      <c r="S59" s="53"/>
      <c r="T59" s="94"/>
      <c r="U59" s="94"/>
      <c r="V59" s="94"/>
      <c r="W59" s="53"/>
      <c r="X59" s="53"/>
      <c r="Y59" s="53"/>
      <c r="Z59" s="53"/>
      <c r="AA59" s="53"/>
      <c r="AB59" s="34"/>
      <c r="AC59" s="33"/>
      <c r="AD59" s="52"/>
      <c r="AE59" s="90"/>
      <c r="AF59" s="53"/>
      <c r="AG59" s="94"/>
      <c r="AH59" s="94"/>
      <c r="AI59" s="94"/>
      <c r="AJ59" s="53"/>
      <c r="AK59" s="53"/>
      <c r="AL59" s="53"/>
      <c r="AM59" s="53"/>
      <c r="AN59" s="53"/>
      <c r="AO59" s="34"/>
      <c r="AP59" s="33"/>
      <c r="AQ59" s="52"/>
      <c r="AR59" s="90"/>
      <c r="AS59" s="53"/>
      <c r="AT59" s="94"/>
      <c r="AU59" s="94"/>
      <c r="AV59" s="94"/>
      <c r="AW59" s="53"/>
      <c r="AX59" s="53"/>
      <c r="AY59" s="53"/>
      <c r="AZ59" s="53"/>
      <c r="BA59" s="53"/>
      <c r="BB59" s="34"/>
      <c r="BC59" s="33"/>
      <c r="BD59" s="52"/>
      <c r="BE59" s="90"/>
      <c r="BF59" s="53"/>
      <c r="BG59" s="94"/>
      <c r="BH59" s="94"/>
      <c r="BI59" s="94"/>
      <c r="BJ59" s="53"/>
      <c r="BK59" s="53"/>
      <c r="BL59" s="53"/>
      <c r="BM59" s="53"/>
      <c r="BN59" s="53"/>
      <c r="BO59" s="54"/>
      <c r="BP59" s="35"/>
      <c r="BR59" s="4"/>
    </row>
    <row r="60" spans="1:71" s="1" customFormat="1" ht="15" customHeight="1" x14ac:dyDescent="0.7">
      <c r="A60" s="222" t="s">
        <v>33</v>
      </c>
      <c r="B60" s="223"/>
      <c r="C60" s="55"/>
      <c r="D60" s="55"/>
      <c r="E60" s="85"/>
      <c r="F60" s="5"/>
      <c r="G60" s="100"/>
      <c r="H60" s="100"/>
      <c r="I60" s="100"/>
      <c r="J60" s="5"/>
      <c r="K60" s="5"/>
      <c r="L60" s="5"/>
      <c r="M60" s="5"/>
      <c r="N60" s="5"/>
      <c r="O60" s="56"/>
      <c r="P60" s="57"/>
      <c r="Q60" s="55"/>
      <c r="R60" s="91"/>
      <c r="S60" s="5"/>
      <c r="T60" s="100"/>
      <c r="U60" s="100"/>
      <c r="V60" s="100"/>
      <c r="W60" s="5"/>
      <c r="X60" s="5"/>
      <c r="Y60" s="5"/>
      <c r="Z60" s="5"/>
      <c r="AA60" s="5"/>
      <c r="AB60" s="56"/>
      <c r="AC60" s="57"/>
      <c r="AD60" s="55"/>
      <c r="AE60" s="91"/>
      <c r="AF60" s="5"/>
      <c r="AG60" s="100"/>
      <c r="AH60" s="100"/>
      <c r="AI60" s="100"/>
      <c r="AJ60" s="5"/>
      <c r="AK60" s="5"/>
      <c r="AL60" s="5"/>
      <c r="AM60" s="5"/>
      <c r="AN60" s="5"/>
      <c r="AO60" s="56"/>
      <c r="AP60" s="57"/>
      <c r="AQ60" s="55"/>
      <c r="AR60" s="91"/>
      <c r="AS60" s="5"/>
      <c r="AT60" s="100"/>
      <c r="AU60" s="100"/>
      <c r="AV60" s="100"/>
      <c r="AW60" s="5"/>
      <c r="AX60" s="5"/>
      <c r="AY60" s="5"/>
      <c r="AZ60" s="5"/>
      <c r="BA60" s="5"/>
      <c r="BB60" s="56"/>
      <c r="BC60" s="57"/>
      <c r="BD60" s="55"/>
      <c r="BE60" s="91"/>
      <c r="BF60" s="5"/>
      <c r="BG60" s="100"/>
      <c r="BH60" s="100"/>
      <c r="BI60" s="100"/>
      <c r="BJ60" s="5"/>
      <c r="BK60" s="5"/>
      <c r="BL60" s="5"/>
      <c r="BM60" s="5"/>
      <c r="BN60" s="5"/>
      <c r="BO60" s="18"/>
      <c r="BP60" s="42"/>
      <c r="BQ60" s="5"/>
      <c r="BR60" s="5"/>
    </row>
    <row r="61" spans="1:71" ht="15" customHeight="1" x14ac:dyDescent="0.6">
      <c r="A61" s="228" t="str">
        <f>'Monthly Budget'!A75:B75</f>
        <v>Travel</v>
      </c>
      <c r="B61" s="229"/>
      <c r="N61" s="4">
        <f>'Monthly Budget'!G75*(1+Rates!B$13)</f>
        <v>17141.400000000001</v>
      </c>
      <c r="O61" s="18"/>
      <c r="AA61" s="4">
        <f>'Monthly Budget'!O75*(1+Rates!C$13)</f>
        <v>0</v>
      </c>
      <c r="AB61" s="18"/>
      <c r="AN61" s="4">
        <f>'Monthly Budget'!W75*(1+Rates!D$13)</f>
        <v>0</v>
      </c>
      <c r="AO61" s="18"/>
      <c r="BA61" s="4">
        <f>'Monthly Budget'!AE75*(1+Rates!E$13)</f>
        <v>0</v>
      </c>
      <c r="BB61" s="18"/>
      <c r="BN61" s="4">
        <f>'Monthly Budget'!AM75*(1+Rates!F$13)</f>
        <v>0</v>
      </c>
      <c r="BO61" s="56"/>
      <c r="BP61" s="42">
        <f>N61+AA61+AN61+BA61+BN61</f>
        <v>17141.400000000001</v>
      </c>
      <c r="BR61" s="4"/>
    </row>
    <row r="62" spans="1:71" ht="15" customHeight="1" x14ac:dyDescent="0.6">
      <c r="A62" s="228" t="str">
        <f>'Monthly Budget'!A76:B76</f>
        <v>Supplies</v>
      </c>
      <c r="B62" s="229"/>
      <c r="N62" s="4">
        <f>'Monthly Budget'!G76*(1+Rates!B$13)</f>
        <v>0</v>
      </c>
      <c r="O62" s="18"/>
      <c r="AA62" s="4">
        <f>'Monthly Budget'!O76*(1+Rates!C$13)</f>
        <v>0</v>
      </c>
      <c r="AB62" s="18"/>
      <c r="AN62" s="4">
        <f>'Monthly Budget'!W76*(1+Rates!D$13)</f>
        <v>0</v>
      </c>
      <c r="AO62" s="18"/>
      <c r="BA62" s="4">
        <f>'Monthly Budget'!AE76*(1+Rates!E$13)</f>
        <v>0</v>
      </c>
      <c r="BB62" s="18"/>
      <c r="BN62" s="4">
        <f>'Monthly Budget'!AM76*(1+Rates!F$13)</f>
        <v>0</v>
      </c>
      <c r="BO62" s="18"/>
      <c r="BP62" s="42">
        <f>N62+AA62+AN62+BA62+BN62</f>
        <v>0</v>
      </c>
      <c r="BR62" s="4"/>
    </row>
    <row r="63" spans="1:71" ht="15" customHeight="1" x14ac:dyDescent="0.6">
      <c r="A63" s="228" t="str">
        <f>'Monthly Budget'!A77:B77</f>
        <v>Publications</v>
      </c>
      <c r="B63" s="229"/>
      <c r="N63" s="4">
        <f>'Monthly Budget'!G77*(1+Rates!B$13)</f>
        <v>0</v>
      </c>
      <c r="O63" s="18"/>
      <c r="AA63" s="4">
        <f>'Monthly Budget'!O77*(1+Rates!C$13)</f>
        <v>0</v>
      </c>
      <c r="AB63" s="18"/>
      <c r="AN63" s="4">
        <f>'Monthly Budget'!W77*(1+Rates!D$13)</f>
        <v>0</v>
      </c>
      <c r="AO63" s="18"/>
      <c r="BA63" s="4">
        <f>'Monthly Budget'!AE77*(1+Rates!E$13)</f>
        <v>0</v>
      </c>
      <c r="BB63" s="18"/>
      <c r="BN63" s="4">
        <f>'Monthly Budget'!AM77*(1+Rates!F$13)</f>
        <v>0</v>
      </c>
      <c r="BO63" s="18"/>
      <c r="BP63" s="42">
        <f>N63+AA63+AN63+BA63+BN63</f>
        <v>0</v>
      </c>
      <c r="BR63" s="4"/>
    </row>
    <row r="64" spans="1:71" ht="15" customHeight="1" x14ac:dyDescent="0.6">
      <c r="A64" s="228" t="str">
        <f>'Monthly Budget'!A78:B78</f>
        <v>Consultants</v>
      </c>
      <c r="B64" s="229"/>
      <c r="N64" s="4">
        <f>'Monthly Budget'!G78*(1+Rates!B$13)</f>
        <v>0</v>
      </c>
      <c r="O64" s="18"/>
      <c r="S64" s="58"/>
      <c r="AA64" s="4">
        <f>'Monthly Budget'!O78*(1+Rates!C$13)</f>
        <v>0</v>
      </c>
      <c r="AB64" s="59"/>
      <c r="AF64" s="58"/>
      <c r="AN64" s="4">
        <f>'Monthly Budget'!W78*(1+Rates!D$13)</f>
        <v>0</v>
      </c>
      <c r="AO64" s="59"/>
      <c r="AS64" s="58"/>
      <c r="BA64" s="4">
        <f>'Monthly Budget'!AE78*(1+Rates!E$13)</f>
        <v>0</v>
      </c>
      <c r="BB64" s="59"/>
      <c r="BF64" s="58"/>
      <c r="BN64" s="4">
        <f>'Monthly Budget'!AM78*(1+Rates!F$13)</f>
        <v>0</v>
      </c>
      <c r="BO64" s="18"/>
      <c r="BP64" s="42">
        <f>N64+AA64+AN64+BA64+BN64</f>
        <v>0</v>
      </c>
      <c r="BR64" s="4"/>
    </row>
    <row r="65" spans="1:71" ht="15" customHeight="1" x14ac:dyDescent="0.6">
      <c r="A65" s="228" t="e">
        <f>_xlfn.SINGLE('Monthly Budget'!#REF!)</f>
        <v>#REF!</v>
      </c>
      <c r="B65" s="229"/>
      <c r="N65" s="4">
        <f>'Monthly Budget'!G79*(1+Rates!B$13)</f>
        <v>0</v>
      </c>
      <c r="O65" s="18"/>
      <c r="S65" s="58"/>
      <c r="AA65" s="4">
        <f>'Monthly Budget'!O79*(1+Rates!C$13)</f>
        <v>0</v>
      </c>
      <c r="AB65" s="59"/>
      <c r="AF65" s="58"/>
      <c r="AN65" s="4">
        <f>'Monthly Budget'!W79*(1+Rates!D$13)</f>
        <v>0</v>
      </c>
      <c r="AO65" s="59"/>
      <c r="AS65" s="58"/>
      <c r="BA65" s="4">
        <f>'Monthly Budget'!AE79*(1+Rates!E$13)</f>
        <v>0</v>
      </c>
      <c r="BB65" s="59"/>
      <c r="BF65" s="58"/>
      <c r="BN65" s="4">
        <f>'Monthly Budget'!AM79*(1+Rates!F$13)</f>
        <v>0</v>
      </c>
      <c r="BO65" s="18"/>
      <c r="BP65" s="42">
        <f>N65+AA65+AN65+BA65+BN65</f>
        <v>0</v>
      </c>
      <c r="BR65" s="4"/>
    </row>
    <row r="66" spans="1:71" ht="10.15" customHeight="1" x14ac:dyDescent="0.6">
      <c r="A66" s="68"/>
      <c r="B66" s="69"/>
      <c r="C66" s="70"/>
      <c r="D66" s="70"/>
      <c r="E66" s="86"/>
      <c r="F66" s="18"/>
      <c r="G66" s="101"/>
      <c r="H66" s="101"/>
      <c r="I66" s="101"/>
      <c r="J66" s="18"/>
      <c r="K66" s="18"/>
      <c r="L66" s="18"/>
      <c r="M66" s="18"/>
      <c r="N66" s="18"/>
      <c r="O66" s="18"/>
      <c r="P66" s="71"/>
      <c r="Q66" s="70"/>
      <c r="R66" s="59"/>
      <c r="S66" s="59"/>
      <c r="T66" s="101"/>
      <c r="U66" s="101"/>
      <c r="V66" s="101"/>
      <c r="W66" s="18"/>
      <c r="X66" s="18"/>
      <c r="Y66" s="18"/>
      <c r="Z66" s="18"/>
      <c r="AA66" s="18"/>
      <c r="AB66" s="59"/>
      <c r="AC66" s="71"/>
      <c r="AD66" s="70"/>
      <c r="AE66" s="59"/>
      <c r="AF66" s="59"/>
      <c r="AG66" s="101"/>
      <c r="AH66" s="101"/>
      <c r="AI66" s="101"/>
      <c r="AJ66" s="18"/>
      <c r="AK66" s="18"/>
      <c r="AL66" s="18"/>
      <c r="AM66" s="18"/>
      <c r="AN66" s="18"/>
      <c r="AO66" s="59"/>
      <c r="AP66" s="71"/>
      <c r="AQ66" s="70"/>
      <c r="AR66" s="59"/>
      <c r="AS66" s="59"/>
      <c r="AT66" s="101"/>
      <c r="AU66" s="101"/>
      <c r="AV66" s="101"/>
      <c r="AW66" s="18"/>
      <c r="AX66" s="18"/>
      <c r="AY66" s="18"/>
      <c r="AZ66" s="18"/>
      <c r="BA66" s="18"/>
      <c r="BB66" s="59"/>
      <c r="BC66" s="71"/>
      <c r="BD66" s="70"/>
      <c r="BE66" s="59"/>
      <c r="BF66" s="59"/>
      <c r="BG66" s="101"/>
      <c r="BH66" s="101"/>
      <c r="BI66" s="101"/>
      <c r="BJ66" s="18"/>
      <c r="BK66" s="18"/>
      <c r="BL66" s="18"/>
      <c r="BM66" s="18"/>
      <c r="BN66" s="18"/>
      <c r="BO66" s="59"/>
      <c r="BP66" s="72"/>
      <c r="BR66" s="4"/>
    </row>
    <row r="67" spans="1:71" ht="15" customHeight="1" x14ac:dyDescent="0.6">
      <c r="A67" s="247" t="str">
        <f>'Monthly Budget'!A81:B81</f>
        <v>Subawards - adjust IDC base</v>
      </c>
      <c r="B67" s="248"/>
      <c r="N67" s="4">
        <f>'Monthly Budget'!G81*(1+Rates!B$13)</f>
        <v>0</v>
      </c>
      <c r="O67" s="18"/>
      <c r="AA67" s="4">
        <f>'Monthly Budget'!O81*(1+Rates!C$13)</f>
        <v>0</v>
      </c>
      <c r="AB67" s="18"/>
      <c r="AN67" s="4">
        <f>'Monthly Budget'!W81*(1+Rates!D$13)</f>
        <v>0</v>
      </c>
      <c r="AO67" s="18"/>
      <c r="BA67" s="4">
        <f>'Monthly Budget'!AE81*(1+Rates!E$13)</f>
        <v>0</v>
      </c>
      <c r="BB67" s="18"/>
      <c r="BN67" s="4">
        <f>'Monthly Budget'!AM81*(1+Rates!F$13)</f>
        <v>0</v>
      </c>
      <c r="BO67" s="59"/>
      <c r="BP67" s="42">
        <f>N67+AA67+AN67+BA67+BN67</f>
        <v>0</v>
      </c>
      <c r="BR67" s="4"/>
    </row>
    <row r="68" spans="1:71" ht="15" customHeight="1" x14ac:dyDescent="0.6">
      <c r="A68" s="228" t="str">
        <f>'Monthly Budget'!A82:B82</f>
        <v>Equipment</v>
      </c>
      <c r="B68" s="229"/>
      <c r="N68" s="4">
        <f>'Monthly Budget'!G82*(1+Rates!B$13)</f>
        <v>0</v>
      </c>
      <c r="O68" s="18"/>
      <c r="AA68" s="4">
        <f>'Monthly Budget'!O82*(1+Rates!C$13)</f>
        <v>0</v>
      </c>
      <c r="AB68" s="18"/>
      <c r="AN68" s="4">
        <f>'Monthly Budget'!W82*(1+Rates!D$13)</f>
        <v>0</v>
      </c>
      <c r="AO68" s="18"/>
      <c r="BA68" s="4">
        <f>'Monthly Budget'!AE82*(1+Rates!E$13)</f>
        <v>0</v>
      </c>
      <c r="BB68" s="18"/>
      <c r="BN68" s="4">
        <f>'Monthly Budget'!AM82*(1+Rates!F$13)</f>
        <v>0</v>
      </c>
      <c r="BO68" s="59"/>
      <c r="BP68" s="42">
        <f>N68+AA68+AN68+BA68+BN68</f>
        <v>0</v>
      </c>
      <c r="BR68" s="4"/>
    </row>
    <row r="69" spans="1:71" ht="15" customHeight="1" x14ac:dyDescent="0.6">
      <c r="A69" s="228" t="str">
        <f>'Monthly Budget'!A83:F83</f>
        <v>Tuition -/ch, ch/sem</v>
      </c>
      <c r="B69" s="229"/>
      <c r="C69" s="229"/>
      <c r="D69" s="229"/>
      <c r="E69" s="229"/>
      <c r="F69" s="229"/>
      <c r="G69" s="102"/>
      <c r="H69" s="102"/>
      <c r="I69" s="102"/>
      <c r="N69" s="4">
        <f>'Monthly Budget'!G83*(1+Rates!B$13)</f>
        <v>0</v>
      </c>
      <c r="O69" s="18"/>
      <c r="Q69" s="12"/>
      <c r="S69" s="58"/>
      <c r="T69" s="102"/>
      <c r="U69" s="102"/>
      <c r="V69" s="102"/>
      <c r="AA69" s="4">
        <f>'Monthly Budget'!O83*(1+Rates!C$13)</f>
        <v>0</v>
      </c>
      <c r="AB69" s="59"/>
      <c r="AD69" s="12"/>
      <c r="AF69" s="58"/>
      <c r="AG69" s="102"/>
      <c r="AH69" s="102"/>
      <c r="AI69" s="102"/>
      <c r="AN69" s="4">
        <f>'Monthly Budget'!W83*(1+Rates!D$13)</f>
        <v>0</v>
      </c>
      <c r="AO69" s="59"/>
      <c r="AQ69" s="12"/>
      <c r="AS69" s="58"/>
      <c r="AT69" s="102"/>
      <c r="AU69" s="102"/>
      <c r="AV69" s="102"/>
      <c r="BA69" s="4">
        <f>'Monthly Budget'!AE83*(1+Rates!E$13)</f>
        <v>0</v>
      </c>
      <c r="BB69" s="59"/>
      <c r="BD69" s="12"/>
      <c r="BF69" s="58"/>
      <c r="BG69" s="102"/>
      <c r="BH69" s="102"/>
      <c r="BI69" s="102"/>
      <c r="BN69" s="4">
        <f>'Monthly Budget'!AM83*(1+Rates!F$13)</f>
        <v>0</v>
      </c>
      <c r="BO69" s="18"/>
      <c r="BP69" s="42">
        <f>N69+AA69+AN69+BA69+BN69</f>
        <v>0</v>
      </c>
      <c r="BR69" s="4"/>
    </row>
    <row r="70" spans="1:71" ht="10.15" customHeight="1" x14ac:dyDescent="0.6">
      <c r="A70" s="68"/>
      <c r="B70" s="69"/>
      <c r="C70" s="70"/>
      <c r="D70" s="70"/>
      <c r="E70" s="86"/>
      <c r="F70" s="18"/>
      <c r="G70" s="101"/>
      <c r="H70" s="101"/>
      <c r="I70" s="101"/>
      <c r="J70" s="18"/>
      <c r="K70" s="18"/>
      <c r="L70" s="18"/>
      <c r="M70" s="18"/>
      <c r="N70" s="18"/>
      <c r="O70" s="18"/>
      <c r="P70" s="71"/>
      <c r="Q70" s="70"/>
      <c r="R70" s="59"/>
      <c r="S70" s="18"/>
      <c r="T70" s="101"/>
      <c r="U70" s="101"/>
      <c r="V70" s="101"/>
      <c r="W70" s="18"/>
      <c r="X70" s="18"/>
      <c r="Y70" s="18"/>
      <c r="Z70" s="18"/>
      <c r="AA70" s="18"/>
      <c r="AB70" s="18"/>
      <c r="AC70" s="71"/>
      <c r="AD70" s="70"/>
      <c r="AE70" s="59"/>
      <c r="AF70" s="18"/>
      <c r="AG70" s="101"/>
      <c r="AH70" s="101"/>
      <c r="AI70" s="101"/>
      <c r="AJ70" s="18"/>
      <c r="AK70" s="18"/>
      <c r="AL70" s="18"/>
      <c r="AM70" s="18"/>
      <c r="AN70" s="18"/>
      <c r="AO70" s="18"/>
      <c r="AP70" s="71"/>
      <c r="AQ70" s="70"/>
      <c r="AR70" s="59"/>
      <c r="AS70" s="18"/>
      <c r="AT70" s="101"/>
      <c r="AU70" s="101"/>
      <c r="AV70" s="101"/>
      <c r="AW70" s="18"/>
      <c r="AX70" s="18"/>
      <c r="AY70" s="18"/>
      <c r="AZ70" s="18"/>
      <c r="BA70" s="18"/>
      <c r="BB70" s="18"/>
      <c r="BC70" s="71"/>
      <c r="BD70" s="70"/>
      <c r="BE70" s="59"/>
      <c r="BF70" s="18"/>
      <c r="BG70" s="101"/>
      <c r="BH70" s="101"/>
      <c r="BI70" s="101"/>
      <c r="BJ70" s="18"/>
      <c r="BK70" s="18"/>
      <c r="BL70" s="18"/>
      <c r="BM70" s="18"/>
      <c r="BN70" s="18"/>
      <c r="BO70" s="59"/>
      <c r="BP70" s="72"/>
      <c r="BR70" s="4"/>
    </row>
    <row r="71" spans="1:71" s="1" customFormat="1" ht="15" customHeight="1" x14ac:dyDescent="0.6">
      <c r="A71" s="228" t="s">
        <v>9</v>
      </c>
      <c r="B71" s="229"/>
      <c r="C71" s="55"/>
      <c r="D71" s="55"/>
      <c r="E71" s="85"/>
      <c r="F71" s="5"/>
      <c r="G71" s="100"/>
      <c r="H71" s="100"/>
      <c r="I71" s="100"/>
      <c r="J71" s="5"/>
      <c r="K71" s="5"/>
      <c r="L71" s="5"/>
      <c r="M71" s="5"/>
      <c r="N71" s="5">
        <f>SUM(N61:N65, N67:N69)</f>
        <v>17141.400000000001</v>
      </c>
      <c r="O71" s="56"/>
      <c r="P71" s="57"/>
      <c r="Q71" s="55"/>
      <c r="R71" s="91"/>
      <c r="S71" s="5"/>
      <c r="T71" s="100"/>
      <c r="U71" s="100"/>
      <c r="V71" s="100"/>
      <c r="W71" s="5"/>
      <c r="X71" s="5"/>
      <c r="Y71" s="5"/>
      <c r="Z71" s="5"/>
      <c r="AA71" s="5">
        <f>SUM(AA61:AA65, AA67:AA69)</f>
        <v>0</v>
      </c>
      <c r="AB71" s="56"/>
      <c r="AC71" s="57"/>
      <c r="AD71" s="55"/>
      <c r="AE71" s="91"/>
      <c r="AF71" s="5"/>
      <c r="AG71" s="100"/>
      <c r="AH71" s="100"/>
      <c r="AI71" s="100"/>
      <c r="AJ71" s="5"/>
      <c r="AK71" s="5"/>
      <c r="AL71" s="5"/>
      <c r="AM71" s="5"/>
      <c r="AN71" s="5">
        <f>SUM(AN61:AN65, AN67:AN69)</f>
        <v>0</v>
      </c>
      <c r="AO71" s="56"/>
      <c r="AP71" s="57"/>
      <c r="AQ71" s="55"/>
      <c r="AR71" s="91"/>
      <c r="AS71" s="5"/>
      <c r="AT71" s="100"/>
      <c r="AU71" s="100"/>
      <c r="AV71" s="100"/>
      <c r="AW71" s="5"/>
      <c r="AX71" s="5"/>
      <c r="AY71" s="5"/>
      <c r="AZ71" s="5"/>
      <c r="BA71" s="5">
        <f>SUM(BA61:BA65, BA67:BA69)</f>
        <v>0</v>
      </c>
      <c r="BB71" s="56"/>
      <c r="BC71" s="57"/>
      <c r="BD71" s="55"/>
      <c r="BE71" s="91"/>
      <c r="BF71" s="5"/>
      <c r="BG71" s="100"/>
      <c r="BH71" s="100"/>
      <c r="BI71" s="100"/>
      <c r="BJ71" s="5"/>
      <c r="BK71" s="5"/>
      <c r="BL71" s="5"/>
      <c r="BM71" s="5"/>
      <c r="BN71" s="5">
        <f>SUM(BN61:BN65, BN67:BN69)</f>
        <v>0</v>
      </c>
      <c r="BO71" s="18"/>
      <c r="BP71" s="42">
        <f>N71+AA71+AN71+BA71+BN71</f>
        <v>17141.400000000001</v>
      </c>
      <c r="BQ71" s="5"/>
      <c r="BR71" s="5"/>
    </row>
    <row r="72" spans="1:71" ht="15" customHeight="1" x14ac:dyDescent="0.6">
      <c r="A72" s="36"/>
      <c r="O72" s="18"/>
      <c r="AB72" s="18"/>
      <c r="AO72" s="18"/>
      <c r="BB72" s="18"/>
      <c r="BO72" s="56"/>
      <c r="BP72" s="42"/>
    </row>
    <row r="73" spans="1:71" s="1" customFormat="1" ht="15" customHeight="1" thickBot="1" x14ac:dyDescent="0.75">
      <c r="A73" s="252" t="s">
        <v>1</v>
      </c>
      <c r="B73" s="253"/>
      <c r="C73" s="45"/>
      <c r="D73" s="45"/>
      <c r="E73" s="83"/>
      <c r="F73" s="46"/>
      <c r="G73" s="99"/>
      <c r="H73" s="99"/>
      <c r="I73" s="99"/>
      <c r="J73" s="46"/>
      <c r="K73" s="46"/>
      <c r="L73" s="46"/>
      <c r="M73" s="46"/>
      <c r="N73" s="46">
        <f>N58+N71</f>
        <v>77806.12</v>
      </c>
      <c r="O73" s="47"/>
      <c r="P73" s="48"/>
      <c r="Q73" s="45"/>
      <c r="R73" s="89"/>
      <c r="S73" s="46"/>
      <c r="T73" s="99"/>
      <c r="U73" s="99"/>
      <c r="V73" s="99"/>
      <c r="W73" s="46"/>
      <c r="X73" s="46"/>
      <c r="Y73" s="46"/>
      <c r="Z73" s="46"/>
      <c r="AA73" s="46">
        <f>AA58+AA71</f>
        <v>0</v>
      </c>
      <c r="AB73" s="47"/>
      <c r="AC73" s="48"/>
      <c r="AD73" s="45"/>
      <c r="AE73" s="89"/>
      <c r="AF73" s="46"/>
      <c r="AG73" s="99"/>
      <c r="AH73" s="99"/>
      <c r="AI73" s="99"/>
      <c r="AJ73" s="46"/>
      <c r="AK73" s="46"/>
      <c r="AL73" s="46"/>
      <c r="AM73" s="46"/>
      <c r="AN73" s="46">
        <f>AN58+AN71</f>
        <v>0</v>
      </c>
      <c r="AO73" s="47"/>
      <c r="AP73" s="48"/>
      <c r="AQ73" s="45"/>
      <c r="AR73" s="89"/>
      <c r="AS73" s="46"/>
      <c r="AT73" s="99"/>
      <c r="AU73" s="99"/>
      <c r="AV73" s="99"/>
      <c r="AW73" s="46"/>
      <c r="AX73" s="46"/>
      <c r="AY73" s="46"/>
      <c r="AZ73" s="46"/>
      <c r="BA73" s="46">
        <f>BA58+BA71</f>
        <v>0</v>
      </c>
      <c r="BB73" s="47"/>
      <c r="BC73" s="48"/>
      <c r="BD73" s="45"/>
      <c r="BE73" s="89"/>
      <c r="BF73" s="46"/>
      <c r="BG73" s="99"/>
      <c r="BH73" s="99"/>
      <c r="BI73" s="99"/>
      <c r="BJ73" s="46"/>
      <c r="BK73" s="46"/>
      <c r="BL73" s="46"/>
      <c r="BM73" s="46"/>
      <c r="BN73" s="46">
        <f>BN58+BN71</f>
        <v>0</v>
      </c>
      <c r="BO73" s="49"/>
      <c r="BP73" s="50">
        <f>N73+AA73+AN73+BA73+BN73</f>
        <v>77806.12</v>
      </c>
      <c r="BQ73" s="5"/>
      <c r="BR73" s="5"/>
      <c r="BS73" s="8"/>
    </row>
    <row r="74" spans="1:71" x14ac:dyDescent="0.6">
      <c r="BO74" s="5"/>
    </row>
    <row r="75" spans="1:71" x14ac:dyDescent="0.6">
      <c r="A75" s="181" t="s">
        <v>59</v>
      </c>
      <c r="B75" s="182"/>
      <c r="C75" s="180"/>
      <c r="D75" s="180"/>
      <c r="E75" s="183"/>
      <c r="F75" s="184"/>
      <c r="G75" s="186"/>
      <c r="H75" s="186"/>
    </row>
    <row r="76" spans="1:71" x14ac:dyDescent="0.6">
      <c r="A76" s="193" t="s">
        <v>71</v>
      </c>
      <c r="B76" s="194"/>
      <c r="C76" s="195"/>
      <c r="D76" s="195"/>
      <c r="E76" s="196"/>
      <c r="F76" s="197"/>
      <c r="G76" s="198"/>
      <c r="H76" s="198"/>
      <c r="I76" s="198"/>
      <c r="J76" s="197"/>
      <c r="K76" s="197"/>
      <c r="L76" s="197"/>
      <c r="M76" s="197"/>
      <c r="N76" s="197"/>
      <c r="O76" s="197"/>
      <c r="P76" s="199"/>
      <c r="Q76" s="195"/>
      <c r="R76" s="200"/>
      <c r="S76" s="197"/>
    </row>
    <row r="77" spans="1:71" ht="13.75" thickBot="1" x14ac:dyDescent="0.75">
      <c r="A77" s="190" t="s">
        <v>66</v>
      </c>
      <c r="B77" s="191"/>
      <c r="C77" s="192"/>
    </row>
    <row r="78" spans="1:71" ht="136.5" customHeight="1" thickTop="1" thickBot="1" x14ac:dyDescent="0.75">
      <c r="A78" s="249" t="s">
        <v>43</v>
      </c>
      <c r="B78" s="250"/>
      <c r="C78" s="250"/>
      <c r="D78" s="250"/>
      <c r="E78" s="251"/>
      <c r="F78" s="103"/>
      <c r="G78" s="103"/>
      <c r="H78" s="104"/>
    </row>
    <row r="79" spans="1:71" x14ac:dyDescent="0.6">
      <c r="BR79" s="4"/>
    </row>
    <row r="80" spans="1:71" x14ac:dyDescent="0.6">
      <c r="BR80" s="4"/>
    </row>
    <row r="82" spans="70:70" x14ac:dyDescent="0.6">
      <c r="BR82" s="4"/>
    </row>
    <row r="83" spans="70:70" x14ac:dyDescent="0.6">
      <c r="BR83" s="4"/>
    </row>
    <row r="85" spans="70:70" x14ac:dyDescent="0.6">
      <c r="BR85" s="4"/>
    </row>
    <row r="86" spans="70:70" x14ac:dyDescent="0.6">
      <c r="BR86" s="4"/>
    </row>
    <row r="89" spans="70:70" x14ac:dyDescent="0.6">
      <c r="BR89" s="4"/>
    </row>
    <row r="90" spans="70:70" x14ac:dyDescent="0.6">
      <c r="BR90" s="4"/>
    </row>
    <row r="91" spans="70:70" x14ac:dyDescent="0.6">
      <c r="BR91" s="4"/>
    </row>
  </sheetData>
  <mergeCells count="67">
    <mergeCell ref="B1:F1"/>
    <mergeCell ref="B2:F2"/>
    <mergeCell ref="B3:F3"/>
    <mergeCell ref="C5:J5"/>
    <mergeCell ref="P5:T5"/>
    <mergeCell ref="AC5:AG5"/>
    <mergeCell ref="AP5:AT5"/>
    <mergeCell ref="BC5:BG5"/>
    <mergeCell ref="A6:B6"/>
    <mergeCell ref="A7:B7"/>
    <mergeCell ref="A8:B8"/>
    <mergeCell ref="A9:B9"/>
    <mergeCell ref="A10:B10"/>
    <mergeCell ref="A11:B11"/>
    <mergeCell ref="A12:B12"/>
    <mergeCell ref="A13:B13"/>
    <mergeCell ref="A14:B14"/>
    <mergeCell ref="A15:B15"/>
    <mergeCell ref="A26:B26"/>
    <mergeCell ref="A16:B16"/>
    <mergeCell ref="A17:B17"/>
    <mergeCell ref="A18:B18"/>
    <mergeCell ref="A19:B19"/>
    <mergeCell ref="A20:B20"/>
    <mergeCell ref="A21:B21"/>
    <mergeCell ref="A22:B22"/>
    <mergeCell ref="A23:B23"/>
    <mergeCell ref="A24:B24"/>
    <mergeCell ref="A25:B25"/>
    <mergeCell ref="A27:B27"/>
    <mergeCell ref="A28:B28"/>
    <mergeCell ref="A29:B29"/>
    <mergeCell ref="A30:B30"/>
    <mergeCell ref="A31:B31"/>
    <mergeCell ref="A37:B37"/>
    <mergeCell ref="A44:B44"/>
    <mergeCell ref="A45:B45"/>
    <mergeCell ref="A46:B46"/>
    <mergeCell ref="A47:B47"/>
    <mergeCell ref="A38:B38"/>
    <mergeCell ref="A39:B39"/>
    <mergeCell ref="A40:B40"/>
    <mergeCell ref="A41:B41"/>
    <mergeCell ref="A42:B42"/>
    <mergeCell ref="A43:B43"/>
    <mergeCell ref="A32:B32"/>
    <mergeCell ref="A33:B33"/>
    <mergeCell ref="A34:B34"/>
    <mergeCell ref="A35:B35"/>
    <mergeCell ref="A36:B36"/>
    <mergeCell ref="A48:B48"/>
    <mergeCell ref="A49:B49"/>
    <mergeCell ref="A50:B50"/>
    <mergeCell ref="A51:B51"/>
    <mergeCell ref="A73:B73"/>
    <mergeCell ref="A58:B58"/>
    <mergeCell ref="A60:B60"/>
    <mergeCell ref="A61:B61"/>
    <mergeCell ref="A62:B62"/>
    <mergeCell ref="A63:B63"/>
    <mergeCell ref="A78:E78"/>
    <mergeCell ref="A64:B64"/>
    <mergeCell ref="A65:B65"/>
    <mergeCell ref="A67:B67"/>
    <mergeCell ref="A68:B68"/>
    <mergeCell ref="A69:F69"/>
    <mergeCell ref="A71:B71"/>
  </mergeCell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rgb="FFFFC000"/>
  </sheetPr>
  <dimension ref="A2:I6"/>
  <sheetViews>
    <sheetView workbookViewId="0">
      <selection activeCell="A52" sqref="A52:B52"/>
    </sheetView>
  </sheetViews>
  <sheetFormatPr defaultRowHeight="13" x14ac:dyDescent="0.6"/>
  <sheetData>
    <row r="2" spans="1:9" ht="15.5" x14ac:dyDescent="0.7">
      <c r="A2" s="2" t="s">
        <v>62</v>
      </c>
      <c r="B2" s="2"/>
      <c r="C2" s="2"/>
      <c r="D2" s="2"/>
      <c r="E2" s="2"/>
      <c r="F2" s="2"/>
      <c r="G2" s="2"/>
      <c r="H2" s="2"/>
      <c r="I2" s="2"/>
    </row>
    <row r="3" spans="1:9" ht="15.5" x14ac:dyDescent="0.7">
      <c r="A3" s="2"/>
      <c r="B3" s="2" t="s">
        <v>67</v>
      </c>
      <c r="C3" s="2"/>
      <c r="D3" s="2"/>
      <c r="E3" s="2"/>
      <c r="F3" s="2"/>
      <c r="G3" s="2"/>
      <c r="H3" s="2"/>
      <c r="I3" s="2"/>
    </row>
    <row r="4" spans="1:9" ht="15.5" x14ac:dyDescent="0.7">
      <c r="A4" s="2"/>
      <c r="B4" s="2" t="s">
        <v>63</v>
      </c>
      <c r="C4" s="2"/>
      <c r="D4" s="2"/>
      <c r="E4" s="2"/>
      <c r="F4" s="2"/>
      <c r="G4" s="2"/>
      <c r="H4" s="2"/>
      <c r="I4" s="2"/>
    </row>
    <row r="5" spans="1:9" ht="15.5" x14ac:dyDescent="0.7">
      <c r="A5" s="2"/>
      <c r="B5" s="2" t="s">
        <v>64</v>
      </c>
      <c r="C5" s="2"/>
      <c r="D5" s="2"/>
      <c r="E5" s="2"/>
      <c r="F5" s="2"/>
      <c r="G5" s="2"/>
      <c r="H5" s="2"/>
      <c r="I5" s="2"/>
    </row>
    <row r="6" spans="1:9" ht="15.5" x14ac:dyDescent="0.7">
      <c r="A6" s="2"/>
      <c r="B6" s="2" t="s">
        <v>65</v>
      </c>
      <c r="C6" s="2"/>
      <c r="D6" s="2"/>
      <c r="E6" s="2"/>
      <c r="F6" s="2"/>
      <c r="G6" s="2"/>
      <c r="H6" s="2"/>
      <c r="I6" s="2"/>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T23"/>
  <sheetViews>
    <sheetView zoomScale="130" zoomScaleNormal="130" workbookViewId="0">
      <selection activeCell="F15" sqref="A15:XFD20"/>
    </sheetView>
  </sheetViews>
  <sheetFormatPr defaultRowHeight="13" x14ac:dyDescent="0.6"/>
  <cols>
    <col min="1" max="1" width="9.54296875" bestFit="1" customWidth="1"/>
    <col min="2" max="2" width="9.1328125" customWidth="1"/>
    <col min="3" max="4" width="9.26953125" customWidth="1"/>
    <col min="5" max="6" width="9.26953125" hidden="1" customWidth="1"/>
    <col min="7" max="7" width="9.1328125" customWidth="1"/>
  </cols>
  <sheetData>
    <row r="1" spans="1:6" x14ac:dyDescent="0.6">
      <c r="A1" s="22"/>
      <c r="B1" s="255"/>
      <c r="C1" s="255"/>
      <c r="D1" s="255"/>
      <c r="E1" s="255"/>
      <c r="F1" s="256"/>
    </row>
    <row r="2" spans="1:6" x14ac:dyDescent="0.6">
      <c r="A2" s="23"/>
      <c r="B2" t="s">
        <v>68</v>
      </c>
      <c r="C2" t="s">
        <v>69</v>
      </c>
      <c r="D2" t="s">
        <v>73</v>
      </c>
      <c r="E2" t="s">
        <v>74</v>
      </c>
      <c r="F2" s="24" t="s">
        <v>75</v>
      </c>
    </row>
    <row r="3" spans="1:6" x14ac:dyDescent="0.6">
      <c r="A3" s="25" t="s">
        <v>27</v>
      </c>
      <c r="B3" s="20">
        <v>0.64449999999999996</v>
      </c>
      <c r="C3" s="20">
        <v>0.65449999999999997</v>
      </c>
      <c r="D3" s="20">
        <v>0.66839999999999999</v>
      </c>
      <c r="E3" s="20">
        <v>0.68279999999999996</v>
      </c>
      <c r="F3" s="26">
        <v>0.68279999999999996</v>
      </c>
    </row>
    <row r="4" spans="1:6" x14ac:dyDescent="0.6">
      <c r="A4" s="25" t="s">
        <v>15</v>
      </c>
      <c r="B4" s="20">
        <v>0.14000000000000001</v>
      </c>
      <c r="C4" s="20">
        <v>0.14499999999999999</v>
      </c>
      <c r="D4" s="20">
        <v>0.14499999999999999</v>
      </c>
      <c r="E4" s="20">
        <v>0.14499999999999999</v>
      </c>
      <c r="F4" s="26">
        <v>0.14499999999999999</v>
      </c>
    </row>
    <row r="5" spans="1:6" x14ac:dyDescent="0.6">
      <c r="A5" s="25" t="s">
        <v>28</v>
      </c>
      <c r="B5" s="20">
        <v>0.4</v>
      </c>
      <c r="C5" s="20">
        <v>0.41</v>
      </c>
      <c r="D5" s="20">
        <v>0.41499999999999998</v>
      </c>
      <c r="E5" s="20">
        <v>0.43</v>
      </c>
      <c r="F5" s="26">
        <v>0.43</v>
      </c>
    </row>
    <row r="6" spans="1:6" x14ac:dyDescent="0.6">
      <c r="A6" s="25" t="s">
        <v>29</v>
      </c>
      <c r="B6" s="20">
        <v>0.13</v>
      </c>
      <c r="C6" s="21">
        <v>0.13</v>
      </c>
      <c r="D6" s="20">
        <v>0.13</v>
      </c>
      <c r="E6" s="20">
        <v>0.13500000000000001</v>
      </c>
      <c r="F6" s="26">
        <v>0.13500000000000001</v>
      </c>
    </row>
    <row r="7" spans="1:6" x14ac:dyDescent="0.6">
      <c r="A7" s="6" t="s">
        <v>25</v>
      </c>
      <c r="B7" s="20">
        <v>0.06</v>
      </c>
      <c r="C7" s="20">
        <v>0.06</v>
      </c>
      <c r="D7" s="20">
        <v>0.06</v>
      </c>
      <c r="E7" s="20">
        <v>0.06</v>
      </c>
      <c r="F7" s="26">
        <v>0.06</v>
      </c>
    </row>
    <row r="8" spans="1:6" ht="13.75" thickBot="1" x14ac:dyDescent="0.75">
      <c r="A8" s="27" t="s">
        <v>57</v>
      </c>
      <c r="B8" s="166">
        <v>0.28000000000000003</v>
      </c>
      <c r="C8" s="166">
        <v>0.32</v>
      </c>
      <c r="D8" s="166">
        <v>0.34</v>
      </c>
      <c r="E8" s="166">
        <v>0.35</v>
      </c>
      <c r="F8" s="167">
        <v>0.35</v>
      </c>
    </row>
    <row r="10" spans="1:6" ht="13.75" thickBot="1" x14ac:dyDescent="0.75"/>
    <row r="11" spans="1:6" x14ac:dyDescent="0.6">
      <c r="A11" s="22"/>
      <c r="B11" s="255"/>
      <c r="C11" s="255"/>
      <c r="D11" s="255"/>
      <c r="E11" s="255"/>
      <c r="F11" s="256"/>
    </row>
    <row r="12" spans="1:6" x14ac:dyDescent="0.6">
      <c r="A12" s="23"/>
      <c r="B12" t="s">
        <v>68</v>
      </c>
      <c r="C12" t="s">
        <v>69</v>
      </c>
      <c r="D12" t="s">
        <v>73</v>
      </c>
      <c r="E12" t="s">
        <v>74</v>
      </c>
      <c r="F12" s="24" t="s">
        <v>75</v>
      </c>
    </row>
    <row r="13" spans="1:6" ht="13.75" thickBot="1" x14ac:dyDescent="0.75">
      <c r="A13" s="187" t="s">
        <v>30</v>
      </c>
      <c r="B13" s="28">
        <v>0.60499999999999998</v>
      </c>
      <c r="C13" s="28">
        <v>0.61</v>
      </c>
      <c r="D13" s="28">
        <v>0.61</v>
      </c>
      <c r="E13" s="28">
        <v>0.61</v>
      </c>
      <c r="F13" s="29">
        <v>0.61</v>
      </c>
    </row>
    <row r="15" spans="1:6" s="165" customFormat="1" ht="12.75" hidden="1" customHeight="1" x14ac:dyDescent="0.6">
      <c r="A15" s="257" t="s">
        <v>59</v>
      </c>
      <c r="B15" s="257"/>
      <c r="C15" s="257"/>
      <c r="D15" s="257"/>
      <c r="E15" s="257"/>
    </row>
    <row r="16" spans="1:6" s="165" customFormat="1" hidden="1" x14ac:dyDescent="0.6">
      <c r="A16" s="257"/>
      <c r="B16" s="257"/>
      <c r="C16" s="257"/>
      <c r="D16" s="257"/>
      <c r="E16" s="257"/>
    </row>
    <row r="17" spans="1:20" s="165" customFormat="1" ht="12.75" hidden="1" customHeight="1" x14ac:dyDescent="0.6">
      <c r="A17" s="254" t="s">
        <v>70</v>
      </c>
      <c r="B17" s="254"/>
      <c r="C17" s="254"/>
      <c r="D17" s="254"/>
      <c r="E17" s="254"/>
    </row>
    <row r="18" spans="1:20" s="165" customFormat="1" hidden="1" x14ac:dyDescent="0.6">
      <c r="A18" s="254"/>
      <c r="B18" s="254"/>
      <c r="C18" s="254"/>
      <c r="D18" s="254"/>
      <c r="E18" s="254"/>
    </row>
    <row r="19" spans="1:20" s="165" customFormat="1" hidden="1" x14ac:dyDescent="0.6">
      <c r="A19" s="254"/>
      <c r="B19" s="254"/>
      <c r="C19" s="254"/>
      <c r="D19" s="254"/>
      <c r="E19" s="254"/>
    </row>
    <row r="20" spans="1:20" s="165" customFormat="1" hidden="1" x14ac:dyDescent="0.6">
      <c r="A20" s="191" t="s">
        <v>66</v>
      </c>
      <c r="B20" s="191"/>
      <c r="C20" s="191"/>
      <c r="D20" s="191"/>
      <c r="E20" s="191"/>
    </row>
    <row r="23" spans="1:20" x14ac:dyDescent="0.6">
      <c r="B23" s="1"/>
      <c r="D23" s="11"/>
      <c r="E23" s="11"/>
      <c r="F23" s="78"/>
      <c r="G23" s="4"/>
      <c r="H23" s="93"/>
      <c r="I23" s="93"/>
      <c r="J23" s="93"/>
      <c r="K23" s="4"/>
      <c r="L23" s="4"/>
      <c r="M23" s="4"/>
      <c r="N23" s="4"/>
      <c r="O23" s="4"/>
      <c r="P23" s="4"/>
      <c r="Q23" s="12"/>
      <c r="R23" s="11"/>
      <c r="S23" s="58"/>
      <c r="T23" s="4"/>
    </row>
  </sheetData>
  <mergeCells count="4">
    <mergeCell ref="A17:E19"/>
    <mergeCell ref="B1:F1"/>
    <mergeCell ref="B11:F11"/>
    <mergeCell ref="A15:E16"/>
  </mergeCells>
  <phoneticPr fontId="0" type="noConversion"/>
  <pageMargins left="0.75" right="0.75" top="1" bottom="1" header="0.5" footer="0.5"/>
  <pageSetup orientation="portrait" horizontalDpi="1200" verticalDpi="1200"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Monthly Budget</vt:lpstr>
      <vt:lpstr>Hourly Budget</vt:lpstr>
      <vt:lpstr>Hourly Breakdown</vt:lpstr>
      <vt:lpstr>Sanitized Budget Calc</vt:lpstr>
      <vt:lpstr>Sanitized Budget Final</vt:lpstr>
      <vt:lpstr>Rates</vt:lpstr>
    </vt:vector>
  </TitlesOfParts>
  <Company>Research Foundation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Kraft</dc:creator>
  <cp:lastModifiedBy>Carla Martinez Machain</cp:lastModifiedBy>
  <cp:lastPrinted>2013-06-20T12:25:41Z</cp:lastPrinted>
  <dcterms:created xsi:type="dcterms:W3CDTF">2003-01-21T19:06:15Z</dcterms:created>
  <dcterms:modified xsi:type="dcterms:W3CDTF">2023-12-08T16:09:24Z</dcterms:modified>
</cp:coreProperties>
</file>